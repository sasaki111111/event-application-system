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3" autoFilterDateGrouping="1"/>
  </bookViews>
  <sheets>
    <sheet xmlns:r="http://schemas.openxmlformats.org/officeDocument/2006/relationships" name="サマリ" sheetId="1" state="visible" r:id="rId1"/>
    <sheet xmlns:r="http://schemas.openxmlformats.org/officeDocument/2006/relationships" name="UT" sheetId="2" state="visible" r:id="rId2"/>
    <sheet xmlns:r="http://schemas.openxmlformats.org/officeDocument/2006/relationships" name="IT_API結合" sheetId="3" state="visible" r:id="rId3"/>
    <sheet xmlns:r="http://schemas.openxmlformats.org/officeDocument/2006/relationships" name="IT_画面結合" sheetId="4" state="visible" r:id="rId4"/>
    <sheet xmlns:r="http://schemas.openxmlformats.org/officeDocument/2006/relationships" name="ST" sheetId="5" state="visible" r:id="rId5"/>
    <sheet xmlns:r="http://schemas.openxmlformats.org/officeDocument/2006/relationships" name="不具合一覧" sheetId="6" state="visible" r:id="rId6"/>
  </sheets>
  <definedNames>
    <definedName name="_xlnm._FilterDatabase" localSheetId="1" hidden="1">'UT'!$A$1:$T$180</definedName>
    <definedName name="_xlnm._FilterDatabase" localSheetId="2" hidden="1">'IT_API結合'!$A$1:$T$212</definedName>
    <definedName name="_xlnm._FilterDatabase" localSheetId="3" hidden="1">'IT_画面結合'!$A$1:$T$133</definedName>
    <definedName name="_xlnm._FilterDatabase" localSheetId="4" hidden="1">'ST'!$A$1:$T$95</definedName>
  </definedNames>
  <calcPr calcId="191029" fullCalcOnLoad="1"/>
</workbook>
</file>

<file path=xl/styles.xml><?xml version="1.0" encoding="utf-8"?>
<styleSheet xmlns="http://schemas.openxmlformats.org/spreadsheetml/2006/main">
  <numFmts count="2">
    <numFmt numFmtId="164" formatCode="yyyy/mm/dd"/>
    <numFmt numFmtId="165" formatCode="0.0%"/>
  </numFmts>
  <fonts count="8">
    <font>
      <name val="ＭＳ Ｐゴシック"/>
      <family val="2"/>
      <color theme="1"/>
      <sz val="11"/>
      <scheme val="minor"/>
    </font>
    <font>
      <name val="Meiryo UI"/>
      <charset val="128"/>
      <family val="3"/>
      <b val="1"/>
      <sz val="10"/>
    </font>
    <font>
      <name val="Meiryo UI"/>
      <charset val="128"/>
      <family val="3"/>
      <sz val="10"/>
    </font>
    <font>
      <name val="Meiryo UI"/>
      <charset val="128"/>
      <family val="3"/>
      <b val="1"/>
      <sz val="14"/>
    </font>
    <font>
      <name val="ＭＳ Ｐゴシック"/>
      <charset val="128"/>
      <family val="3"/>
      <sz val="6"/>
      <scheme val="minor"/>
    </font>
    <font>
      <name val="ＭＳ Ｐゴシック"/>
      <charset val="128"/>
      <family val="3"/>
      <color rgb="FF0563C1"/>
      <sz val="10"/>
      <u val="single"/>
    </font>
    <font>
      <name val="ＭＳ Ｐゴシック"/>
      <charset val="128"/>
      <family val="3"/>
      <color rgb="FF0563C1"/>
      <sz val="11"/>
      <u val="single"/>
    </font>
    <font>
      <name val="ＭＳ Ｐゴシック"/>
      <charset val="128"/>
      <family val="3"/>
      <color rgb="FF0563C1"/>
      <sz val="11"/>
      <u val="single"/>
    </font>
  </fonts>
  <fills count="4">
    <fill>
      <patternFill/>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5">
    <xf numFmtId="0" fontId="0" fillId="0" borderId="0" pivotButton="0" quotePrefix="0" xfId="0"/>
    <xf numFmtId="0" fontId="3" fillId="0" borderId="0" pivotButton="0" quotePrefix="0" xfId="0"/>
    <xf numFmtId="0" fontId="2" fillId="0" borderId="0" pivotButton="0" quotePrefix="0" xfId="0"/>
    <xf numFmtId="0" fontId="1" fillId="0" borderId="0" pivotButton="0" quotePrefix="0" xfId="0"/>
    <xf numFmtId="164" fontId="2" fillId="0" borderId="0" applyAlignment="1" pivotButton="0" quotePrefix="0" xfId="0">
      <alignment horizontal="left"/>
    </xf>
    <xf numFmtId="0" fontId="1" fillId="2" borderId="1" applyAlignment="1" pivotButton="0" quotePrefix="0" xfId="0">
      <alignment horizontal="center"/>
    </xf>
    <xf numFmtId="0" fontId="2" fillId="0" borderId="1" pivotButton="0" quotePrefix="0" xfId="0"/>
    <xf numFmtId="165" fontId="2" fillId="0" borderId="1" pivotButton="0" quotePrefix="0" xfId="0"/>
    <xf numFmtId="0" fontId="1" fillId="0" borderId="1" pivotButton="0" quotePrefix="0" xfId="0"/>
    <xf numFmtId="165" fontId="1" fillId="0" borderId="1"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1" fillId="2" borderId="1" applyAlignment="1" pivotButton="0" quotePrefix="0" xfId="0">
      <alignment horizontal="center" vertical="center"/>
    </xf>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164" fontId="0" fillId="0" borderId="1" applyAlignment="1" pivotButton="0" quotePrefix="0" xfId="0">
      <alignment vertical="top" wrapText="1"/>
    </xf>
    <xf numFmtId="164" fontId="2" fillId="0" borderId="0" applyAlignment="1" pivotButton="0" quotePrefix="0" xfId="0">
      <alignment horizontal="left"/>
    </xf>
    <xf numFmtId="165" fontId="2" fillId="0" borderId="1" pivotButton="0" quotePrefix="0" xfId="0"/>
    <xf numFmtId="165" fontId="1" fillId="0" borderId="1" pivotButton="0" quotePrefix="0" xfId="0"/>
    <xf numFmtId="164" fontId="2" fillId="0" borderId="1" applyAlignment="1" pivotButton="0" quotePrefix="0" xfId="0">
      <alignment vertical="top" wrapText="1"/>
    </xf>
    <xf numFmtId="164" fontId="0" fillId="0" borderId="1" applyAlignment="1" pivotButton="0" quotePrefix="0" xfId="0">
      <alignment vertical="top" wrapText="1"/>
    </xf>
  </cellXfs>
  <cellStyles count="1">
    <cellStyle name="標準" xfId="0" builtinId="0"/>
  </cellStyles>
  <dxfs count="32">
    <dxf>
      <font>
        <i val="1"/>
        <color rgb="FFA6A6A6"/>
      </font>
      <fill>
        <patternFill patternType="solid">
          <fgColor rgb="FFF2F2F2"/>
          <bgColor rgb="FFF2F2F2"/>
        </patternFill>
      </fill>
    </dxf>
    <dxf>
      <font>
        <color rgb="FF000000"/>
      </font>
      <fill>
        <patternFill patternType="solid">
          <fgColor rgb="FFFFC000"/>
          <bgColor rgb="FFFFC000"/>
        </patternFill>
      </fill>
    </dxf>
    <dxf>
      <font>
        <b val="1"/>
        <color rgb="FFFFFFFF"/>
      </font>
      <fill>
        <patternFill patternType="solid">
          <fgColor rgb="FFFF5050"/>
          <bgColor rgb="FFFF5050"/>
        </patternFill>
      </fill>
    </dxf>
    <dxf>
      <font>
        <color rgb="FF595959"/>
      </font>
      <fill>
        <patternFill patternType="solid">
          <fgColor rgb="FFD9D9D9"/>
          <bgColor rgb="FFD9D9D9"/>
        </patternFill>
      </fill>
    </dxf>
    <dxf>
      <font>
        <i val="1"/>
        <color rgb="FFA6A6A6"/>
      </font>
      <fill>
        <patternFill patternType="solid">
          <fgColor rgb="FFF2F2F2"/>
          <bgColor rgb="FFF2F2F2"/>
        </patternFill>
      </fill>
    </dxf>
    <dxf>
      <font>
        <color rgb="FF000000"/>
      </font>
      <fill>
        <patternFill patternType="solid">
          <fgColor rgb="FFFFC000"/>
          <bgColor rgb="FFFFC000"/>
        </patternFill>
      </fill>
    </dxf>
    <dxf>
      <font>
        <b val="1"/>
        <color rgb="FFFFFFFF"/>
      </font>
      <fill>
        <patternFill patternType="solid">
          <fgColor rgb="FFFF5050"/>
          <bgColor rgb="FFFF5050"/>
        </patternFill>
      </fill>
    </dxf>
    <dxf>
      <font>
        <color rgb="FF595959"/>
      </font>
      <fill>
        <patternFill patternType="solid">
          <fgColor rgb="FFD9D9D9"/>
          <bgColor rgb="FFD9D9D9"/>
        </patternFill>
      </fill>
    </dxf>
    <dxf>
      <font>
        <i val="1"/>
        <color rgb="FFA6A6A6"/>
      </font>
      <fill>
        <patternFill patternType="solid">
          <fgColor rgb="FFF2F2F2"/>
          <bgColor rgb="FFF2F2F2"/>
        </patternFill>
      </fill>
    </dxf>
    <dxf>
      <font>
        <color rgb="FF000000"/>
      </font>
      <fill>
        <patternFill patternType="solid">
          <fgColor rgb="FFFFC000"/>
          <bgColor rgb="FFFFC000"/>
        </patternFill>
      </fill>
    </dxf>
    <dxf>
      <font>
        <b val="1"/>
        <color rgb="FFFFFFFF"/>
      </font>
      <fill>
        <patternFill patternType="solid">
          <fgColor rgb="FFFF5050"/>
          <bgColor rgb="FFFF5050"/>
        </patternFill>
      </fill>
    </dxf>
    <dxf>
      <font>
        <color rgb="FF595959"/>
      </font>
      <fill>
        <patternFill patternType="solid">
          <fgColor rgb="FFD9D9D9"/>
          <bgColor rgb="FFD9D9D9"/>
        </patternFill>
      </fill>
    </dxf>
    <dxf>
      <font>
        <i val="1"/>
        <color rgb="FFA6A6A6"/>
      </font>
      <fill>
        <patternFill patternType="solid">
          <fgColor rgb="FFF2F2F2"/>
          <bgColor rgb="FFF2F2F2"/>
        </patternFill>
      </fill>
    </dxf>
    <dxf>
      <font>
        <color rgb="FF000000"/>
      </font>
      <fill>
        <patternFill patternType="solid">
          <fgColor rgb="FFFFC000"/>
          <bgColor rgb="FFFFC000"/>
        </patternFill>
      </fill>
    </dxf>
    <dxf>
      <font>
        <b val="1"/>
        <color rgb="FFFFFFFF"/>
      </font>
      <fill>
        <patternFill patternType="solid">
          <fgColor rgb="FFFF5050"/>
          <bgColor rgb="FFFF5050"/>
        </patternFill>
      </fill>
    </dxf>
    <dxf>
      <font>
        <color rgb="FF595959"/>
      </font>
      <fill>
        <patternFill patternType="solid">
          <fgColor rgb="FFD9D9D9"/>
          <bgColor rgb="FFD9D9D9"/>
        </patternFill>
      </fill>
    </dxf>
    <dxf>
      <font>
        <i val="1"/>
        <color rgb="FFA6A6A6"/>
      </font>
      <fill>
        <patternFill patternType="solid">
          <fgColor rgb="FFF2F2F2"/>
          <bgColor rgb="FFF2F2F2"/>
        </patternFill>
      </fill>
    </dxf>
    <dxf>
      <font>
        <color rgb="FF000000"/>
      </font>
      <fill>
        <patternFill patternType="solid">
          <fgColor rgb="FFFFC000"/>
          <bgColor rgb="FFFFC000"/>
        </patternFill>
      </fill>
    </dxf>
    <dxf>
      <font>
        <b val="1"/>
        <color rgb="FFFFFFFF"/>
      </font>
      <fill>
        <patternFill patternType="solid">
          <fgColor rgb="FFFF5050"/>
          <bgColor rgb="FFFF5050"/>
        </patternFill>
      </fill>
    </dxf>
    <dxf>
      <font>
        <color rgb="FF595959"/>
      </font>
      <fill>
        <patternFill patternType="solid">
          <fgColor rgb="FFD9D9D9"/>
          <bgColor rgb="FFD9D9D9"/>
        </patternFill>
      </fill>
    </dxf>
    <dxf>
      <font>
        <i val="1"/>
        <color rgb="FFA6A6A6"/>
      </font>
      <fill>
        <patternFill patternType="solid">
          <fgColor rgb="FFF2F2F2"/>
          <bgColor rgb="FFF2F2F2"/>
        </patternFill>
      </fill>
    </dxf>
    <dxf>
      <font>
        <color rgb="FF000000"/>
      </font>
      <fill>
        <patternFill patternType="solid">
          <fgColor rgb="FFFFC000"/>
          <bgColor rgb="FFFFC000"/>
        </patternFill>
      </fill>
    </dxf>
    <dxf>
      <font>
        <b val="1"/>
        <color rgb="FFFFFFFF"/>
      </font>
      <fill>
        <patternFill patternType="solid">
          <fgColor rgb="FFFF5050"/>
          <bgColor rgb="FFFF5050"/>
        </patternFill>
      </fill>
    </dxf>
    <dxf>
      <font>
        <color rgb="FF595959"/>
      </font>
      <fill>
        <patternFill patternType="solid">
          <fgColor rgb="FFD9D9D9"/>
          <bgColor rgb="FFD9D9D9"/>
        </patternFill>
      </fill>
    </dxf>
    <dxf>
      <font>
        <i val="1"/>
        <color rgb="FFA6A6A6"/>
      </font>
      <fill>
        <patternFill patternType="solid">
          <fgColor rgb="FFF2F2F2"/>
          <bgColor rgb="FFF2F2F2"/>
        </patternFill>
      </fill>
    </dxf>
    <dxf>
      <font>
        <color rgb="FF000000"/>
      </font>
      <fill>
        <patternFill patternType="solid">
          <fgColor rgb="FFFFC000"/>
          <bgColor rgb="FFFFC000"/>
        </patternFill>
      </fill>
    </dxf>
    <dxf>
      <font>
        <b val="1"/>
        <color rgb="FFFFFFFF"/>
      </font>
      <fill>
        <patternFill patternType="solid">
          <fgColor rgb="FFFF5050"/>
          <bgColor rgb="FFFF5050"/>
        </patternFill>
      </fill>
    </dxf>
    <dxf>
      <font>
        <color rgb="FF595959"/>
      </font>
      <fill>
        <patternFill patternType="solid">
          <fgColor rgb="FFD9D9D9"/>
          <bgColor rgb="FFD9D9D9"/>
        </patternFill>
      </fill>
    </dxf>
    <dxf>
      <font>
        <i val="1"/>
        <color rgb="FFA6A6A6"/>
      </font>
      <fill>
        <patternFill patternType="solid">
          <fgColor rgb="FFF2F2F2"/>
          <bgColor rgb="FFF2F2F2"/>
        </patternFill>
      </fill>
    </dxf>
    <dxf>
      <font>
        <color rgb="FF000000"/>
      </font>
      <fill>
        <patternFill patternType="solid">
          <fgColor rgb="FFFFC000"/>
          <bgColor rgb="FFFFC000"/>
        </patternFill>
      </fill>
    </dxf>
    <dxf>
      <font>
        <b val="1"/>
        <color rgb="FFFFFFFF"/>
      </font>
      <fill>
        <patternFill patternType="solid">
          <fgColor rgb="FFFF5050"/>
          <bgColor rgb="FFFF5050"/>
        </patternFill>
      </fill>
    </dxf>
    <dxf>
      <font>
        <color rgb="FF595959"/>
      </font>
      <fill>
        <patternFill patternType="solid">
          <fgColor rgb="FFD9D9D9"/>
          <bgColor rgb="FF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45_&#12486;&#12473;&#12488;&#12456;&#12499;&#12487;&#12531;&#12473;_API&#32080;&#21512;.xlsx" TargetMode="External" Id="rId1"/><Relationship Type="http://schemas.openxmlformats.org/officeDocument/2006/relationships/hyperlink" Target="45_&#12486;&#12473;&#12488;&#12456;&#12499;&#12487;&#12531;&#12473;_API&#32080;&#21512;.xlsx" TargetMode="External" Id="rId2"/><Relationship Type="http://schemas.openxmlformats.org/officeDocument/2006/relationships/hyperlink" Target="45_&#12486;&#12473;&#12488;&#12456;&#12499;&#12487;&#12531;&#12473;_API&#32080;&#21512;.xlsx" TargetMode="External" Id="rId3"/><Relationship Type="http://schemas.openxmlformats.org/officeDocument/2006/relationships/hyperlink" Target="45_&#12486;&#12473;&#12488;&#12456;&#12499;&#12487;&#12531;&#12473;_API&#32080;&#21512;.xlsx" TargetMode="External" Id="rId4"/><Relationship Type="http://schemas.openxmlformats.org/officeDocument/2006/relationships/hyperlink" Target="45_&#12486;&#12473;&#12488;&#12456;&#12499;&#12487;&#12531;&#12473;_API&#32080;&#21512;.xlsx" TargetMode="External" Id="rId5"/><Relationship Type="http://schemas.openxmlformats.org/officeDocument/2006/relationships/hyperlink" Target="45_&#12486;&#12473;&#12488;&#12456;&#12499;&#12487;&#12531;&#12473;_API&#32080;&#21512;.xlsx" TargetMode="External" Id="rId6"/><Relationship Type="http://schemas.openxmlformats.org/officeDocument/2006/relationships/hyperlink" Target="45_&#12486;&#12473;&#12488;&#12456;&#12499;&#12487;&#12531;&#12473;_API&#32080;&#21512;.xlsx" TargetMode="External" Id="rId7"/><Relationship Type="http://schemas.openxmlformats.org/officeDocument/2006/relationships/hyperlink" Target="45_&#12486;&#12473;&#12488;&#12456;&#12499;&#12487;&#12531;&#12473;_API&#32080;&#21512;.xlsx" TargetMode="External" Id="rId8"/><Relationship Type="http://schemas.openxmlformats.org/officeDocument/2006/relationships/hyperlink" Target="45_&#12486;&#12473;&#12488;&#12456;&#12499;&#12487;&#12531;&#12473;_API&#32080;&#21512;.xlsx" TargetMode="External" Id="rId9"/><Relationship Type="http://schemas.openxmlformats.org/officeDocument/2006/relationships/hyperlink" Target="45_&#12486;&#12473;&#12488;&#12456;&#12499;&#12487;&#12531;&#12473;_API&#32080;&#21512;.xlsx" TargetMode="External" Id="rId10"/><Relationship Type="http://schemas.openxmlformats.org/officeDocument/2006/relationships/hyperlink" Target="45_&#12486;&#12473;&#12488;&#12456;&#12499;&#12487;&#12531;&#12473;_API&#32080;&#21512;.xlsx" TargetMode="External" Id="rId11"/><Relationship Type="http://schemas.openxmlformats.org/officeDocument/2006/relationships/hyperlink" Target="45_&#12486;&#12473;&#12488;&#12456;&#12499;&#12487;&#12531;&#12473;_API&#32080;&#21512;.xlsx" TargetMode="External" Id="rId12"/><Relationship Type="http://schemas.openxmlformats.org/officeDocument/2006/relationships/hyperlink" Target="45_&#12486;&#12473;&#12488;&#12456;&#12499;&#12487;&#12531;&#12473;_API&#32080;&#21512;.xlsx" TargetMode="External" Id="rId13"/><Relationship Type="http://schemas.openxmlformats.org/officeDocument/2006/relationships/hyperlink" Target="45_&#12486;&#12473;&#12488;&#12456;&#12499;&#12487;&#12531;&#12473;_API&#32080;&#21512;.xlsx" TargetMode="External" Id="rId14"/><Relationship Type="http://schemas.openxmlformats.org/officeDocument/2006/relationships/hyperlink" Target="45_&#12486;&#12473;&#12488;&#12456;&#12499;&#12487;&#12531;&#12473;_API&#32080;&#21512;.xlsx" TargetMode="External" Id="rId15"/><Relationship Type="http://schemas.openxmlformats.org/officeDocument/2006/relationships/hyperlink" Target="45_&#12486;&#12473;&#12488;&#12456;&#12499;&#12487;&#12531;&#12473;_API&#32080;&#21512;.xlsx" TargetMode="External" Id="rId16"/><Relationship Type="http://schemas.openxmlformats.org/officeDocument/2006/relationships/hyperlink" Target="45_&#12486;&#12473;&#12488;&#12456;&#12499;&#12487;&#12531;&#12473;_API&#32080;&#21512;.xlsx" TargetMode="External" Id="rId17"/><Relationship Type="http://schemas.openxmlformats.org/officeDocument/2006/relationships/hyperlink" Target="45_&#12486;&#12473;&#12488;&#12456;&#12499;&#12487;&#12531;&#12473;_API&#32080;&#21512;.xlsx" TargetMode="External" Id="rId18"/><Relationship Type="http://schemas.openxmlformats.org/officeDocument/2006/relationships/hyperlink" Target="45_&#12486;&#12473;&#12488;&#12456;&#12499;&#12487;&#12531;&#12473;_API&#32080;&#21512;.xlsx" TargetMode="External" Id="rId19"/><Relationship Type="http://schemas.openxmlformats.org/officeDocument/2006/relationships/hyperlink" Target="45_&#12486;&#12473;&#12488;&#12456;&#12499;&#12487;&#12531;&#12473;_API&#32080;&#21512;.xlsx" TargetMode="External" Id="rId20"/><Relationship Type="http://schemas.openxmlformats.org/officeDocument/2006/relationships/hyperlink" Target="45_&#12486;&#12473;&#12488;&#12456;&#12499;&#12487;&#12531;&#12473;_API&#32080;&#21512;.xlsx" TargetMode="External" Id="rId21"/><Relationship Type="http://schemas.openxmlformats.org/officeDocument/2006/relationships/hyperlink" Target="45_&#12486;&#12473;&#12488;&#12456;&#12499;&#12487;&#12531;&#12473;_API&#32080;&#21512;.xlsx" TargetMode="External" Id="rId22"/><Relationship Type="http://schemas.openxmlformats.org/officeDocument/2006/relationships/hyperlink" Target="45_&#12486;&#12473;&#12488;&#12456;&#12499;&#12487;&#12531;&#12473;_API&#32080;&#21512;.xlsx" TargetMode="External" Id="rId23"/><Relationship Type="http://schemas.openxmlformats.org/officeDocument/2006/relationships/hyperlink" Target="45_&#12486;&#12473;&#12488;&#12456;&#12499;&#12487;&#12531;&#12473;_API&#32080;&#21512;.xlsx" TargetMode="External" Id="rId24"/><Relationship Type="http://schemas.openxmlformats.org/officeDocument/2006/relationships/hyperlink" Target="45_&#12486;&#12473;&#12488;&#12456;&#12499;&#12487;&#12531;&#12473;_API&#32080;&#21512;.xlsx" TargetMode="External" Id="rId25"/><Relationship Type="http://schemas.openxmlformats.org/officeDocument/2006/relationships/hyperlink" Target="45_&#12486;&#12473;&#12488;&#12456;&#12499;&#12487;&#12531;&#12473;_API&#32080;&#21512;.xlsx" TargetMode="External" Id="rId26"/><Relationship Type="http://schemas.openxmlformats.org/officeDocument/2006/relationships/hyperlink" Target="45_&#12486;&#12473;&#12488;&#12456;&#12499;&#12487;&#12531;&#12473;_API&#32080;&#21512;.xlsx" TargetMode="External" Id="rId27"/><Relationship Type="http://schemas.openxmlformats.org/officeDocument/2006/relationships/hyperlink" Target="45_&#12486;&#12473;&#12488;&#12456;&#12499;&#12487;&#12531;&#12473;_API&#32080;&#21512;.xlsx" TargetMode="External" Id="rId28"/><Relationship Type="http://schemas.openxmlformats.org/officeDocument/2006/relationships/hyperlink" Target="45_&#12486;&#12473;&#12488;&#12456;&#12499;&#12487;&#12531;&#12473;_API&#32080;&#21512;.xlsx" TargetMode="External" Id="rId29"/><Relationship Type="http://schemas.openxmlformats.org/officeDocument/2006/relationships/hyperlink" Target="45_&#12486;&#12473;&#12488;&#12456;&#12499;&#12487;&#12531;&#12473;_API&#32080;&#21512;.xlsx" TargetMode="External" Id="rId30"/><Relationship Type="http://schemas.openxmlformats.org/officeDocument/2006/relationships/hyperlink" Target="45_&#12486;&#12473;&#12488;&#12456;&#12499;&#12487;&#12531;&#12473;_API&#32080;&#21512;.xlsx" TargetMode="External" Id="rId31"/><Relationship Type="http://schemas.openxmlformats.org/officeDocument/2006/relationships/hyperlink" Target="45_&#12486;&#12473;&#12488;&#12456;&#12499;&#12487;&#12531;&#12473;_API&#32080;&#21512;.xlsx" TargetMode="External" Id="rId32"/><Relationship Type="http://schemas.openxmlformats.org/officeDocument/2006/relationships/hyperlink" Target="45_&#12486;&#12473;&#12488;&#12456;&#12499;&#12487;&#12531;&#12473;_API&#32080;&#21512;.xlsx" TargetMode="External" Id="rId33"/><Relationship Type="http://schemas.openxmlformats.org/officeDocument/2006/relationships/hyperlink" Target="45_&#12486;&#12473;&#12488;&#12456;&#12499;&#12487;&#12531;&#12473;_API&#32080;&#21512;.xlsx" TargetMode="External" Id="rId34"/><Relationship Type="http://schemas.openxmlformats.org/officeDocument/2006/relationships/hyperlink" Target="45_&#12486;&#12473;&#12488;&#12456;&#12499;&#12487;&#12531;&#12473;_API&#32080;&#21512;.xlsx" TargetMode="External" Id="rId35"/><Relationship Type="http://schemas.openxmlformats.org/officeDocument/2006/relationships/hyperlink" Target="45_&#12486;&#12473;&#12488;&#12456;&#12499;&#12487;&#12531;&#12473;_API&#32080;&#21512;.xlsx" TargetMode="External" Id="rId36"/><Relationship Type="http://schemas.openxmlformats.org/officeDocument/2006/relationships/hyperlink" Target="45_&#12486;&#12473;&#12488;&#12456;&#12499;&#12487;&#12531;&#12473;_API&#32080;&#21512;.xlsx" TargetMode="External" Id="rId37"/><Relationship Type="http://schemas.openxmlformats.org/officeDocument/2006/relationships/hyperlink" Target="45_&#12486;&#12473;&#12488;&#12456;&#12499;&#12487;&#12531;&#12473;_API&#32080;&#21512;.xlsx" TargetMode="External" Id="rId38"/><Relationship Type="http://schemas.openxmlformats.org/officeDocument/2006/relationships/hyperlink" Target="45_&#12486;&#12473;&#12488;&#12456;&#12499;&#12487;&#12531;&#12473;_API&#32080;&#21512;.xlsx" TargetMode="External" Id="rId39"/><Relationship Type="http://schemas.openxmlformats.org/officeDocument/2006/relationships/hyperlink" Target="45_&#12486;&#12473;&#12488;&#12456;&#12499;&#12487;&#12531;&#12473;_API&#32080;&#21512;.xlsx" TargetMode="External" Id="rId40"/><Relationship Type="http://schemas.openxmlformats.org/officeDocument/2006/relationships/hyperlink" Target="45_&#12486;&#12473;&#12488;&#12456;&#12499;&#12487;&#12531;&#12473;_API&#32080;&#21512;.xlsx" TargetMode="External" Id="rId41"/><Relationship Type="http://schemas.openxmlformats.org/officeDocument/2006/relationships/hyperlink" Target="45_&#12486;&#12473;&#12488;&#12456;&#12499;&#12487;&#12531;&#12473;_API&#32080;&#21512;.xlsx" TargetMode="External" Id="rId42"/><Relationship Type="http://schemas.openxmlformats.org/officeDocument/2006/relationships/hyperlink" Target="45_&#12486;&#12473;&#12488;&#12456;&#12499;&#12487;&#12531;&#12473;_API&#32080;&#21512;.xlsx" TargetMode="External" Id="rId43"/><Relationship Type="http://schemas.openxmlformats.org/officeDocument/2006/relationships/hyperlink" Target="45_&#12486;&#12473;&#12488;&#12456;&#12499;&#12487;&#12531;&#12473;_API&#32080;&#21512;.xlsx" TargetMode="External" Id="rId44"/><Relationship Type="http://schemas.openxmlformats.org/officeDocument/2006/relationships/hyperlink" Target="https://github.com/sasaki111111/event-application-system/issues/18" TargetMode="External" Id="rId45"/><Relationship Type="http://schemas.openxmlformats.org/officeDocument/2006/relationships/hyperlink" Target="45_&#12486;&#12473;&#12488;&#12456;&#12499;&#12487;&#12531;&#12473;_API&#32080;&#21512;.xlsx" TargetMode="External" Id="rId46"/><Relationship Type="http://schemas.openxmlformats.org/officeDocument/2006/relationships/hyperlink" Target="45_&#12486;&#12473;&#12488;&#12456;&#12499;&#12487;&#12531;&#12473;_API&#32080;&#21512;.xlsx" TargetMode="External" Id="rId47"/><Relationship Type="http://schemas.openxmlformats.org/officeDocument/2006/relationships/hyperlink" Target="45_&#12486;&#12473;&#12488;&#12456;&#12499;&#12487;&#12531;&#12473;_API&#32080;&#21512;.xlsx" TargetMode="External" Id="rId48"/><Relationship Type="http://schemas.openxmlformats.org/officeDocument/2006/relationships/hyperlink" Target="45_&#12486;&#12473;&#12488;&#12456;&#12499;&#12487;&#12531;&#12473;_API&#32080;&#21512;.xlsx" TargetMode="External" Id="rId49"/><Relationship Type="http://schemas.openxmlformats.org/officeDocument/2006/relationships/hyperlink" Target="45_&#12486;&#12473;&#12488;&#12456;&#12499;&#12487;&#12531;&#12473;_API&#32080;&#21512;.xlsx" TargetMode="External" Id="rId50"/><Relationship Type="http://schemas.openxmlformats.org/officeDocument/2006/relationships/hyperlink" Target="45_&#12486;&#12473;&#12488;&#12456;&#12499;&#12487;&#12531;&#12473;_API&#32080;&#21512;.xlsx" TargetMode="External" Id="rId51"/><Relationship Type="http://schemas.openxmlformats.org/officeDocument/2006/relationships/hyperlink" Target="45_&#12486;&#12473;&#12488;&#12456;&#12499;&#12487;&#12531;&#12473;_API&#32080;&#21512;.xlsx" TargetMode="External" Id="rId52"/><Relationship Type="http://schemas.openxmlformats.org/officeDocument/2006/relationships/hyperlink" Target="45_&#12486;&#12473;&#12488;&#12456;&#12499;&#12487;&#12531;&#12473;_API&#32080;&#21512;.xlsx" TargetMode="External" Id="rId53"/><Relationship Type="http://schemas.openxmlformats.org/officeDocument/2006/relationships/hyperlink" Target="45_&#12486;&#12473;&#12488;&#12456;&#12499;&#12487;&#12531;&#12473;_API&#32080;&#21512;.xlsx" TargetMode="External" Id="rId54"/><Relationship Type="http://schemas.openxmlformats.org/officeDocument/2006/relationships/hyperlink" Target="45_&#12486;&#12473;&#12488;&#12456;&#12499;&#12487;&#12531;&#12473;_API&#32080;&#21512;.xlsx" TargetMode="External" Id="rId55"/><Relationship Type="http://schemas.openxmlformats.org/officeDocument/2006/relationships/hyperlink" Target="45_&#12486;&#12473;&#12488;&#12456;&#12499;&#12487;&#12531;&#12473;_API&#32080;&#21512;.xlsx" TargetMode="External" Id="rId56"/><Relationship Type="http://schemas.openxmlformats.org/officeDocument/2006/relationships/hyperlink" Target="45_&#12486;&#12473;&#12488;&#12456;&#12499;&#12487;&#12531;&#12473;_API&#32080;&#21512;.xlsx" TargetMode="External" Id="rId57"/><Relationship Type="http://schemas.openxmlformats.org/officeDocument/2006/relationships/hyperlink" Target="45_&#12486;&#12473;&#12488;&#12456;&#12499;&#12487;&#12531;&#12473;_API&#32080;&#21512;.xlsx" TargetMode="External" Id="rId58"/><Relationship Type="http://schemas.openxmlformats.org/officeDocument/2006/relationships/hyperlink" Target="45_&#12486;&#12473;&#12488;&#12456;&#12499;&#12487;&#12531;&#12473;_API&#32080;&#21512;.xlsx" TargetMode="External" Id="rId59"/><Relationship Type="http://schemas.openxmlformats.org/officeDocument/2006/relationships/hyperlink" Target="45_&#12486;&#12473;&#12488;&#12456;&#12499;&#12487;&#12531;&#12473;_API&#32080;&#21512;.xlsx" TargetMode="External" Id="rId60"/><Relationship Type="http://schemas.openxmlformats.org/officeDocument/2006/relationships/hyperlink" Target="45_&#12486;&#12473;&#12488;&#12456;&#12499;&#12487;&#12531;&#12473;_API&#32080;&#21512;.xlsx" TargetMode="External" Id="rId61"/><Relationship Type="http://schemas.openxmlformats.org/officeDocument/2006/relationships/hyperlink" Target="45_&#12486;&#12473;&#12488;&#12456;&#12499;&#12487;&#12531;&#12473;_API&#32080;&#21512;.xlsx" TargetMode="External" Id="rId62"/><Relationship Type="http://schemas.openxmlformats.org/officeDocument/2006/relationships/hyperlink" Target="45_&#12486;&#12473;&#12488;&#12456;&#12499;&#12487;&#12531;&#12473;_API&#32080;&#21512;.xlsx" TargetMode="External" Id="rId63"/><Relationship Type="http://schemas.openxmlformats.org/officeDocument/2006/relationships/hyperlink" Target="45_&#12486;&#12473;&#12488;&#12456;&#12499;&#12487;&#12531;&#12473;_API&#32080;&#21512;.xlsx" TargetMode="External" Id="rId64"/><Relationship Type="http://schemas.openxmlformats.org/officeDocument/2006/relationships/hyperlink" Target="45_&#12486;&#12473;&#12488;&#12456;&#12499;&#12487;&#12531;&#12473;_API&#32080;&#21512;.xlsx" TargetMode="External" Id="rId65"/><Relationship Type="http://schemas.openxmlformats.org/officeDocument/2006/relationships/hyperlink" Target="45_&#12486;&#12473;&#12488;&#12456;&#12499;&#12487;&#12531;&#12473;_API&#32080;&#21512;.xlsx" TargetMode="External" Id="rId66"/><Relationship Type="http://schemas.openxmlformats.org/officeDocument/2006/relationships/hyperlink" Target="45_&#12486;&#12473;&#12488;&#12456;&#12499;&#12487;&#12531;&#12473;_API&#32080;&#21512;.xlsx" TargetMode="External" Id="rId67"/><Relationship Type="http://schemas.openxmlformats.org/officeDocument/2006/relationships/hyperlink" Target="45_&#12486;&#12473;&#12488;&#12456;&#12499;&#12487;&#12531;&#12473;_API&#32080;&#21512;.xlsx" TargetMode="External" Id="rId68"/><Relationship Type="http://schemas.openxmlformats.org/officeDocument/2006/relationships/hyperlink" Target="45_&#12486;&#12473;&#12488;&#12456;&#12499;&#12487;&#12531;&#12473;_API&#32080;&#21512;.xlsx" TargetMode="External" Id="rId69"/><Relationship Type="http://schemas.openxmlformats.org/officeDocument/2006/relationships/hyperlink" Target="45_&#12486;&#12473;&#12488;&#12456;&#12499;&#12487;&#12531;&#12473;_API&#32080;&#21512;.xlsx" TargetMode="External" Id="rId70"/><Relationship Type="http://schemas.openxmlformats.org/officeDocument/2006/relationships/hyperlink" Target="45_&#12486;&#12473;&#12488;&#12456;&#12499;&#12487;&#12531;&#12473;_API&#32080;&#21512;.xlsx" TargetMode="External" Id="rId71"/><Relationship Type="http://schemas.openxmlformats.org/officeDocument/2006/relationships/hyperlink" Target="45_&#12486;&#12473;&#12488;&#12456;&#12499;&#12487;&#12531;&#12473;_API&#32080;&#21512;.xlsx" TargetMode="External" Id="rId72"/><Relationship Type="http://schemas.openxmlformats.org/officeDocument/2006/relationships/hyperlink" Target="45_&#12486;&#12473;&#12488;&#12456;&#12499;&#12487;&#12531;&#12473;_API&#32080;&#21512;.xlsx" TargetMode="External" Id="rId73"/><Relationship Type="http://schemas.openxmlformats.org/officeDocument/2006/relationships/hyperlink" Target="45_&#12486;&#12473;&#12488;&#12456;&#12499;&#12487;&#12531;&#12473;_API&#32080;&#21512;.xlsx" TargetMode="External" Id="rId74"/><Relationship Type="http://schemas.openxmlformats.org/officeDocument/2006/relationships/hyperlink" Target="45_&#12486;&#12473;&#12488;&#12456;&#12499;&#12487;&#12531;&#12473;_API&#32080;&#21512;.xlsx" TargetMode="External" Id="rId75"/><Relationship Type="http://schemas.openxmlformats.org/officeDocument/2006/relationships/hyperlink" Target="45_&#12486;&#12473;&#12488;&#12456;&#12499;&#12487;&#12531;&#12473;_API&#32080;&#21512;.xlsx" TargetMode="External" Id="rId76"/><Relationship Type="http://schemas.openxmlformats.org/officeDocument/2006/relationships/hyperlink" Target="45_&#12486;&#12473;&#12488;&#12456;&#12499;&#12487;&#12531;&#12473;_API&#32080;&#21512;.xlsx" TargetMode="External" Id="rId77"/><Relationship Type="http://schemas.openxmlformats.org/officeDocument/2006/relationships/hyperlink" Target="45_&#12486;&#12473;&#12488;&#12456;&#12499;&#12487;&#12531;&#12473;_API&#32080;&#21512;.xlsx" TargetMode="External" Id="rId78"/><Relationship Type="http://schemas.openxmlformats.org/officeDocument/2006/relationships/hyperlink" Target="45_&#12486;&#12473;&#12488;&#12456;&#12499;&#12487;&#12531;&#12473;_API&#32080;&#21512;.xlsx" TargetMode="External" Id="rId79"/><Relationship Type="http://schemas.openxmlformats.org/officeDocument/2006/relationships/hyperlink" Target="45_&#12486;&#12473;&#12488;&#12456;&#12499;&#12487;&#12531;&#12473;_API&#32080;&#21512;.xlsx" TargetMode="External" Id="rId80"/><Relationship Type="http://schemas.openxmlformats.org/officeDocument/2006/relationships/hyperlink" Target="45_&#12486;&#12473;&#12488;&#12456;&#12499;&#12487;&#12531;&#12473;_API&#32080;&#21512;.xlsx" TargetMode="External" Id="rId81"/><Relationship Type="http://schemas.openxmlformats.org/officeDocument/2006/relationships/hyperlink" Target="45_&#12486;&#12473;&#12488;&#12456;&#12499;&#12487;&#12531;&#12473;_API&#32080;&#21512;.xlsx" TargetMode="External" Id="rId82"/><Relationship Type="http://schemas.openxmlformats.org/officeDocument/2006/relationships/hyperlink" Target="45_&#12486;&#12473;&#12488;&#12456;&#12499;&#12487;&#12531;&#12473;_API&#32080;&#21512;.xlsx" TargetMode="External" Id="rId83"/><Relationship Type="http://schemas.openxmlformats.org/officeDocument/2006/relationships/hyperlink" Target="45_&#12486;&#12473;&#12488;&#12456;&#12499;&#12487;&#12531;&#12473;_API&#32080;&#21512;.xlsx" TargetMode="External" Id="rId84"/><Relationship Type="http://schemas.openxmlformats.org/officeDocument/2006/relationships/hyperlink" Target="45_&#12486;&#12473;&#12488;&#12456;&#12499;&#12487;&#12531;&#12473;_API&#32080;&#21512;.xlsx" TargetMode="External" Id="rId85"/><Relationship Type="http://schemas.openxmlformats.org/officeDocument/2006/relationships/hyperlink" Target="45_&#12486;&#12473;&#12488;&#12456;&#12499;&#12487;&#12531;&#12473;_API&#32080;&#21512;.xlsx" TargetMode="External" Id="rId86"/><Relationship Type="http://schemas.openxmlformats.org/officeDocument/2006/relationships/hyperlink" Target="45_&#12486;&#12473;&#12488;&#12456;&#12499;&#12487;&#12531;&#12473;_API&#32080;&#21512;.xlsx" TargetMode="External" Id="rId87"/><Relationship Type="http://schemas.openxmlformats.org/officeDocument/2006/relationships/hyperlink" Target="45_&#12486;&#12473;&#12488;&#12456;&#12499;&#12487;&#12531;&#12473;_API&#32080;&#21512;.xlsx" TargetMode="External" Id="rId88"/><Relationship Type="http://schemas.openxmlformats.org/officeDocument/2006/relationships/hyperlink" Target="45_&#12486;&#12473;&#12488;&#12456;&#12499;&#12487;&#12531;&#12473;_API&#32080;&#21512;.xlsx" TargetMode="External" Id="rId89"/><Relationship Type="http://schemas.openxmlformats.org/officeDocument/2006/relationships/hyperlink" Target="45_&#12486;&#12473;&#12488;&#12456;&#12499;&#12487;&#12531;&#12473;_API&#32080;&#21512;.xlsx" TargetMode="External" Id="rId90"/><Relationship Type="http://schemas.openxmlformats.org/officeDocument/2006/relationships/hyperlink" Target="45_&#12486;&#12473;&#12488;&#12456;&#12499;&#12487;&#12531;&#12473;_API&#32080;&#21512;.xlsx" TargetMode="External" Id="rId91"/><Relationship Type="http://schemas.openxmlformats.org/officeDocument/2006/relationships/hyperlink" Target="45_&#12486;&#12473;&#12488;&#12456;&#12499;&#12487;&#12531;&#12473;_API&#32080;&#21512;.xlsx" TargetMode="External" Id="rId92"/><Relationship Type="http://schemas.openxmlformats.org/officeDocument/2006/relationships/hyperlink" Target="45_&#12486;&#12473;&#12488;&#12456;&#12499;&#12487;&#12531;&#12473;_API&#32080;&#21512;.xlsx" TargetMode="External" Id="rId93"/><Relationship Type="http://schemas.openxmlformats.org/officeDocument/2006/relationships/hyperlink" Target="45_&#12486;&#12473;&#12488;&#12456;&#12499;&#12487;&#12531;&#12473;_API&#32080;&#21512;.xlsx" TargetMode="External" Id="rId94"/><Relationship Type="http://schemas.openxmlformats.org/officeDocument/2006/relationships/hyperlink" Target="45_&#12486;&#12473;&#12488;&#12456;&#12499;&#12487;&#12531;&#12473;_API&#32080;&#21512;.xlsx" TargetMode="External" Id="rId95"/><Relationship Type="http://schemas.openxmlformats.org/officeDocument/2006/relationships/hyperlink" Target="45_&#12486;&#12473;&#12488;&#12456;&#12499;&#12487;&#12531;&#12473;_API&#32080;&#21512;.xlsx" TargetMode="External" Id="rId96"/><Relationship Type="http://schemas.openxmlformats.org/officeDocument/2006/relationships/hyperlink" Target="45_&#12486;&#12473;&#12488;&#12456;&#12499;&#12487;&#12531;&#12473;_API&#32080;&#21512;.xlsx" TargetMode="External" Id="rId97"/><Relationship Type="http://schemas.openxmlformats.org/officeDocument/2006/relationships/hyperlink" Target="45_&#12486;&#12473;&#12488;&#12456;&#12499;&#12487;&#12531;&#12473;_API&#32080;&#21512;.xlsx" TargetMode="External" Id="rId98"/><Relationship Type="http://schemas.openxmlformats.org/officeDocument/2006/relationships/hyperlink" Target="45_&#12486;&#12473;&#12488;&#12456;&#12499;&#12487;&#12531;&#12473;_API&#32080;&#21512;.xlsx" TargetMode="External" Id="rId99"/><Relationship Type="http://schemas.openxmlformats.org/officeDocument/2006/relationships/hyperlink" Target="45_&#12486;&#12473;&#12488;&#12456;&#12499;&#12487;&#12531;&#12473;_API&#32080;&#21512;.xlsx" TargetMode="External" Id="rId100"/><Relationship Type="http://schemas.openxmlformats.org/officeDocument/2006/relationships/hyperlink" Target="45_&#12486;&#12473;&#12488;&#12456;&#12499;&#12487;&#12531;&#12473;_API&#32080;&#21512;.xlsx" TargetMode="External" Id="rId101"/><Relationship Type="http://schemas.openxmlformats.org/officeDocument/2006/relationships/hyperlink" Target="45_&#12486;&#12473;&#12488;&#12456;&#12499;&#12487;&#12531;&#12473;_API&#32080;&#21512;.xlsx" TargetMode="External" Id="rId102"/><Relationship Type="http://schemas.openxmlformats.org/officeDocument/2006/relationships/hyperlink" Target="45_&#12486;&#12473;&#12488;&#12456;&#12499;&#12487;&#12531;&#12473;_API&#32080;&#21512;.xlsx" TargetMode="External" Id="rId103"/><Relationship Type="http://schemas.openxmlformats.org/officeDocument/2006/relationships/hyperlink" Target="45_&#12486;&#12473;&#12488;&#12456;&#12499;&#12487;&#12531;&#12473;_API&#32080;&#21512;.xlsx" TargetMode="External" Id="rId104"/><Relationship Type="http://schemas.openxmlformats.org/officeDocument/2006/relationships/hyperlink" Target="45_&#12486;&#12473;&#12488;&#12456;&#12499;&#12487;&#12531;&#12473;_API&#32080;&#21512;.xlsx" TargetMode="External" Id="rId105"/><Relationship Type="http://schemas.openxmlformats.org/officeDocument/2006/relationships/hyperlink" Target="45_&#12486;&#12473;&#12488;&#12456;&#12499;&#12487;&#12531;&#12473;_API&#32080;&#21512;.xlsx" TargetMode="External" Id="rId106"/><Relationship Type="http://schemas.openxmlformats.org/officeDocument/2006/relationships/hyperlink" Target="45_&#12486;&#12473;&#12488;&#12456;&#12499;&#12487;&#12531;&#12473;_API&#32080;&#21512;.xlsx" TargetMode="External" Id="rId107"/><Relationship Type="http://schemas.openxmlformats.org/officeDocument/2006/relationships/hyperlink" Target="45_&#12486;&#12473;&#12488;&#12456;&#12499;&#12487;&#12531;&#12473;_API&#32080;&#21512;.xlsx" TargetMode="External" Id="rId108"/><Relationship Type="http://schemas.openxmlformats.org/officeDocument/2006/relationships/hyperlink" Target="45_&#12486;&#12473;&#12488;&#12456;&#12499;&#12487;&#12531;&#12473;_API&#32080;&#21512;.xlsx" TargetMode="External" Id="rId109"/><Relationship Type="http://schemas.openxmlformats.org/officeDocument/2006/relationships/hyperlink" Target="45_&#12486;&#12473;&#12488;&#12456;&#12499;&#12487;&#12531;&#12473;_API&#32080;&#21512;.xlsx" TargetMode="External" Id="rId110"/><Relationship Type="http://schemas.openxmlformats.org/officeDocument/2006/relationships/hyperlink" Target="45_&#12486;&#12473;&#12488;&#12456;&#12499;&#12487;&#12531;&#12473;_API&#32080;&#21512;.xlsx" TargetMode="External" Id="rId111"/><Relationship Type="http://schemas.openxmlformats.org/officeDocument/2006/relationships/hyperlink" Target="45_&#12486;&#12473;&#12488;&#12456;&#12499;&#12487;&#12531;&#12473;_API&#32080;&#21512;.xlsx" TargetMode="External" Id="rId112"/><Relationship Type="http://schemas.openxmlformats.org/officeDocument/2006/relationships/hyperlink" Target="45_&#12486;&#12473;&#12488;&#12456;&#12499;&#12487;&#12531;&#12473;_API&#32080;&#21512;.xlsx" TargetMode="External" Id="rId113"/><Relationship Type="http://schemas.openxmlformats.org/officeDocument/2006/relationships/hyperlink" Target="45_&#12486;&#12473;&#12488;&#12456;&#12499;&#12487;&#12531;&#12473;_API&#32080;&#21512;.xlsx" TargetMode="External" Id="rId114"/><Relationship Type="http://schemas.openxmlformats.org/officeDocument/2006/relationships/hyperlink" Target="45_&#12486;&#12473;&#12488;&#12456;&#12499;&#12487;&#12531;&#12473;_API&#32080;&#21512;.xlsx" TargetMode="External" Id="rId115"/><Relationship Type="http://schemas.openxmlformats.org/officeDocument/2006/relationships/hyperlink" Target="45_&#12486;&#12473;&#12488;&#12456;&#12499;&#12487;&#12531;&#12473;_API&#32080;&#21512;.xlsx" TargetMode="External" Id="rId116"/><Relationship Type="http://schemas.openxmlformats.org/officeDocument/2006/relationships/hyperlink" Target="45_&#12486;&#12473;&#12488;&#12456;&#12499;&#12487;&#12531;&#12473;_API&#32080;&#21512;.xlsx" TargetMode="External" Id="rId117"/><Relationship Type="http://schemas.openxmlformats.org/officeDocument/2006/relationships/hyperlink" Target="45_&#12486;&#12473;&#12488;&#12456;&#12499;&#12487;&#12531;&#12473;_API&#32080;&#21512;.xlsx" TargetMode="External" Id="rId118"/><Relationship Type="http://schemas.openxmlformats.org/officeDocument/2006/relationships/hyperlink" Target="45_&#12486;&#12473;&#12488;&#12456;&#12499;&#12487;&#12531;&#12473;_API&#32080;&#21512;.xlsx" TargetMode="External" Id="rId119"/><Relationship Type="http://schemas.openxmlformats.org/officeDocument/2006/relationships/hyperlink" Target="45_&#12486;&#12473;&#12488;&#12456;&#12499;&#12487;&#12531;&#12473;_API&#32080;&#21512;.xlsx" TargetMode="External" Id="rId120"/><Relationship Type="http://schemas.openxmlformats.org/officeDocument/2006/relationships/hyperlink" Target="45_&#12486;&#12473;&#12488;&#12456;&#12499;&#12487;&#12531;&#12473;_API&#32080;&#21512;.xlsx" TargetMode="External" Id="rId121"/><Relationship Type="http://schemas.openxmlformats.org/officeDocument/2006/relationships/hyperlink" Target="45_&#12486;&#12473;&#12488;&#12456;&#12499;&#12487;&#12531;&#12473;_API&#32080;&#21512;.xlsx" TargetMode="External" Id="rId122"/><Relationship Type="http://schemas.openxmlformats.org/officeDocument/2006/relationships/hyperlink" Target="45_&#12486;&#12473;&#12488;&#12456;&#12499;&#12487;&#12531;&#12473;_API&#32080;&#21512;.xlsx" TargetMode="External" Id="rId123"/><Relationship Type="http://schemas.openxmlformats.org/officeDocument/2006/relationships/hyperlink" Target="45_&#12486;&#12473;&#12488;&#12456;&#12499;&#12487;&#12531;&#12473;_API&#32080;&#21512;.xlsx" TargetMode="External" Id="rId124"/><Relationship Type="http://schemas.openxmlformats.org/officeDocument/2006/relationships/hyperlink" Target="45_&#12486;&#12473;&#12488;&#12456;&#12499;&#12487;&#12531;&#12473;_API&#32080;&#21512;.xlsx" TargetMode="External" Id="rId125"/><Relationship Type="http://schemas.openxmlformats.org/officeDocument/2006/relationships/hyperlink" Target="45_&#12486;&#12473;&#12488;&#12456;&#12499;&#12487;&#12531;&#12473;_API&#32080;&#21512;.xlsx" TargetMode="External" Id="rId126"/><Relationship Type="http://schemas.openxmlformats.org/officeDocument/2006/relationships/hyperlink" Target="45_&#12486;&#12473;&#12488;&#12456;&#12499;&#12487;&#12531;&#12473;_API&#32080;&#21512;.xlsx" TargetMode="External" Id="rId127"/><Relationship Type="http://schemas.openxmlformats.org/officeDocument/2006/relationships/hyperlink" Target="45_&#12486;&#12473;&#12488;&#12456;&#12499;&#12487;&#12531;&#12473;_API&#32080;&#21512;.xlsx" TargetMode="External" Id="rId128"/><Relationship Type="http://schemas.openxmlformats.org/officeDocument/2006/relationships/hyperlink" Target="45_&#12486;&#12473;&#12488;&#12456;&#12499;&#12487;&#12531;&#12473;_API&#32080;&#21512;.xlsx" TargetMode="External" Id="rId129"/><Relationship Type="http://schemas.openxmlformats.org/officeDocument/2006/relationships/hyperlink" Target="45_&#12486;&#12473;&#12488;&#12456;&#12499;&#12487;&#12531;&#12473;_API&#32080;&#21512;.xlsx" TargetMode="External" Id="rId130"/><Relationship Type="http://schemas.openxmlformats.org/officeDocument/2006/relationships/hyperlink" Target="45_&#12486;&#12473;&#12488;&#12456;&#12499;&#12487;&#12531;&#12473;_API&#32080;&#21512;.xlsx" TargetMode="External" Id="rId131"/><Relationship Type="http://schemas.openxmlformats.org/officeDocument/2006/relationships/hyperlink" Target="45_&#12486;&#12473;&#12488;&#12456;&#12499;&#12487;&#12531;&#12473;_API&#32080;&#21512;.xlsx" TargetMode="External" Id="rId132"/><Relationship Type="http://schemas.openxmlformats.org/officeDocument/2006/relationships/hyperlink" Target="45_&#12486;&#12473;&#12488;&#12456;&#12499;&#12487;&#12531;&#12473;_API&#32080;&#21512;.xlsx" TargetMode="External" Id="rId133"/><Relationship Type="http://schemas.openxmlformats.org/officeDocument/2006/relationships/hyperlink" Target="45_&#12486;&#12473;&#12488;&#12456;&#12499;&#12487;&#12531;&#12473;_API&#32080;&#21512;.xlsx" TargetMode="External" Id="rId134"/><Relationship Type="http://schemas.openxmlformats.org/officeDocument/2006/relationships/hyperlink" Target="45_&#12486;&#12473;&#12488;&#12456;&#12499;&#12487;&#12531;&#12473;_API&#32080;&#21512;.xlsx" TargetMode="External" Id="rId135"/><Relationship Type="http://schemas.openxmlformats.org/officeDocument/2006/relationships/hyperlink" Target="45_&#12486;&#12473;&#12488;&#12456;&#12499;&#12487;&#12531;&#12473;_API&#32080;&#21512;.xlsx" TargetMode="External" Id="rId136"/><Relationship Type="http://schemas.openxmlformats.org/officeDocument/2006/relationships/hyperlink" Target="45_&#12486;&#12473;&#12488;&#12456;&#12499;&#12487;&#12531;&#12473;_API&#32080;&#21512;.xlsx" TargetMode="External" Id="rId137"/><Relationship Type="http://schemas.openxmlformats.org/officeDocument/2006/relationships/hyperlink" Target="45_&#12486;&#12473;&#12488;&#12456;&#12499;&#12487;&#12531;&#12473;_API&#32080;&#21512;.xlsx" TargetMode="External" Id="rId138"/><Relationship Type="http://schemas.openxmlformats.org/officeDocument/2006/relationships/hyperlink" Target="45_&#12486;&#12473;&#12488;&#12456;&#12499;&#12487;&#12531;&#12473;_API&#32080;&#21512;.xlsx" TargetMode="External" Id="rId139"/><Relationship Type="http://schemas.openxmlformats.org/officeDocument/2006/relationships/hyperlink" Target="45_&#12486;&#12473;&#12488;&#12456;&#12499;&#12487;&#12531;&#12473;_API&#32080;&#21512;.xlsx" TargetMode="External" Id="rId140"/><Relationship Type="http://schemas.openxmlformats.org/officeDocument/2006/relationships/hyperlink" Target="45_&#12486;&#12473;&#12488;&#12456;&#12499;&#12487;&#12531;&#12473;_API&#32080;&#21512;.xlsx" TargetMode="External" Id="rId141"/><Relationship Type="http://schemas.openxmlformats.org/officeDocument/2006/relationships/hyperlink" Target="45_&#12486;&#12473;&#12488;&#12456;&#12499;&#12487;&#12531;&#12473;_API&#32080;&#21512;.xlsx" TargetMode="External" Id="rId142"/><Relationship Type="http://schemas.openxmlformats.org/officeDocument/2006/relationships/hyperlink" Target="45_&#12486;&#12473;&#12488;&#12456;&#12499;&#12487;&#12531;&#12473;_API&#32080;&#21512;.xlsx" TargetMode="External" Id="rId143"/><Relationship Type="http://schemas.openxmlformats.org/officeDocument/2006/relationships/hyperlink" Target="45_&#12486;&#12473;&#12488;&#12456;&#12499;&#12487;&#12531;&#12473;_API&#32080;&#21512;.xlsx" TargetMode="External" Id="rId144"/><Relationship Type="http://schemas.openxmlformats.org/officeDocument/2006/relationships/hyperlink" Target="45_&#12486;&#12473;&#12488;&#12456;&#12499;&#12487;&#12531;&#12473;_API&#32080;&#21512;.xlsx" TargetMode="External" Id="rId145"/><Relationship Type="http://schemas.openxmlformats.org/officeDocument/2006/relationships/hyperlink" Target="45_&#12486;&#12473;&#12488;&#12456;&#12499;&#12487;&#12531;&#12473;_API&#32080;&#21512;.xlsx" TargetMode="External" Id="rId146"/><Relationship Type="http://schemas.openxmlformats.org/officeDocument/2006/relationships/hyperlink" Target="45_&#12486;&#12473;&#12488;&#12456;&#12499;&#12487;&#12531;&#12473;_API&#32080;&#21512;.xlsx" TargetMode="External" Id="rId147"/></Relationships>
</file>

<file path=xl/worksheets/_rels/sheet4.xml.rels><Relationships xmlns="http://schemas.openxmlformats.org/package/2006/relationships"><Relationship Type="http://schemas.openxmlformats.org/officeDocument/2006/relationships/hyperlink" Target="45_&#12486;&#12473;&#12488;&#12456;&#12499;&#12487;&#12531;&#12473;_&#30011;&#38754;&#32080;&#21512;.xlsx" TargetMode="External" Id="rId1"/><Relationship Type="http://schemas.openxmlformats.org/officeDocument/2006/relationships/hyperlink" Target="45_&#12486;&#12473;&#12488;&#12456;&#12499;&#12487;&#12531;&#12473;_&#30011;&#38754;&#32080;&#21512;.xlsx" TargetMode="External" Id="rId2"/><Relationship Type="http://schemas.openxmlformats.org/officeDocument/2006/relationships/hyperlink" Target="45_&#12486;&#12473;&#12488;&#12456;&#12499;&#12487;&#12531;&#12473;_&#30011;&#38754;&#32080;&#21512;.xlsx" TargetMode="External" Id="rId3"/><Relationship Type="http://schemas.openxmlformats.org/officeDocument/2006/relationships/hyperlink" Target="45_&#12486;&#12473;&#12488;&#12456;&#12499;&#12487;&#12531;&#12473;_&#30011;&#38754;&#32080;&#21512;.xlsx" TargetMode="External" Id="rId4"/><Relationship Type="http://schemas.openxmlformats.org/officeDocument/2006/relationships/hyperlink" Target="45_&#12486;&#12473;&#12488;&#12456;&#12499;&#12487;&#12531;&#12473;_&#30011;&#38754;&#32080;&#21512;.xlsx" TargetMode="External" Id="rId5"/><Relationship Type="http://schemas.openxmlformats.org/officeDocument/2006/relationships/hyperlink" Target="45_&#12486;&#12473;&#12488;&#12456;&#12499;&#12487;&#12531;&#12473;_&#30011;&#38754;&#32080;&#21512;.xlsx" TargetMode="External" Id="rId6"/><Relationship Type="http://schemas.openxmlformats.org/officeDocument/2006/relationships/hyperlink" Target="45_&#12486;&#12473;&#12488;&#12456;&#12499;&#12487;&#12531;&#12473;_&#30011;&#38754;&#32080;&#21512;.xlsx" TargetMode="External" Id="rId7"/><Relationship Type="http://schemas.openxmlformats.org/officeDocument/2006/relationships/hyperlink" Target="45_&#12486;&#12473;&#12488;&#12456;&#12499;&#12487;&#12531;&#12473;_&#30011;&#38754;&#32080;&#21512;.xlsx" TargetMode="External" Id="rId8"/><Relationship Type="http://schemas.openxmlformats.org/officeDocument/2006/relationships/hyperlink" Target="45_&#12486;&#12473;&#12488;&#12456;&#12499;&#12487;&#12531;&#12473;_&#30011;&#38754;&#32080;&#21512;.xlsx" TargetMode="External" Id="rId9"/><Relationship Type="http://schemas.openxmlformats.org/officeDocument/2006/relationships/hyperlink" Target="45_&#12486;&#12473;&#12488;&#12456;&#12499;&#12487;&#12531;&#12473;_&#30011;&#38754;&#32080;&#21512;.xlsx" TargetMode="External" Id="rId10"/><Relationship Type="http://schemas.openxmlformats.org/officeDocument/2006/relationships/hyperlink" Target="45_&#12486;&#12473;&#12488;&#12456;&#12499;&#12487;&#12531;&#12473;_&#30011;&#38754;&#32080;&#21512;.xlsx" TargetMode="External" Id="rId11"/><Relationship Type="http://schemas.openxmlformats.org/officeDocument/2006/relationships/hyperlink" Target="45_&#12486;&#12473;&#12488;&#12456;&#12499;&#12487;&#12531;&#12473;_&#30011;&#38754;&#32080;&#21512;.xlsx" TargetMode="External" Id="rId12"/><Relationship Type="http://schemas.openxmlformats.org/officeDocument/2006/relationships/hyperlink" Target="45_&#12486;&#12473;&#12488;&#12456;&#12499;&#12487;&#12531;&#12473;_&#30011;&#38754;&#32080;&#21512;.xlsx" TargetMode="External" Id="rId13"/><Relationship Type="http://schemas.openxmlformats.org/officeDocument/2006/relationships/hyperlink" Target="45_&#12486;&#12473;&#12488;&#12456;&#12499;&#12487;&#12531;&#12473;_&#30011;&#38754;&#32080;&#21512;.xlsx" TargetMode="External" Id="rId14"/><Relationship Type="http://schemas.openxmlformats.org/officeDocument/2006/relationships/hyperlink" Target="45_&#12486;&#12473;&#12488;&#12456;&#12499;&#12487;&#12531;&#12473;_&#30011;&#38754;&#32080;&#21512;.xlsx" TargetMode="External" Id="rId15"/><Relationship Type="http://schemas.openxmlformats.org/officeDocument/2006/relationships/hyperlink" Target="45_&#12486;&#12473;&#12488;&#12456;&#12499;&#12487;&#12531;&#12473;_&#30011;&#38754;&#32080;&#21512;.xlsx" TargetMode="External" Id="rId16"/><Relationship Type="http://schemas.openxmlformats.org/officeDocument/2006/relationships/hyperlink" Target="45_&#12486;&#12473;&#12488;&#12456;&#12499;&#12487;&#12531;&#12473;_&#30011;&#38754;&#32080;&#21512;.xlsx" TargetMode="External" Id="rId17"/><Relationship Type="http://schemas.openxmlformats.org/officeDocument/2006/relationships/hyperlink" Target="45_&#12486;&#12473;&#12488;&#12456;&#12499;&#12487;&#12531;&#12473;_&#30011;&#38754;&#32080;&#21512;.xlsx" TargetMode="External" Id="rId18"/><Relationship Type="http://schemas.openxmlformats.org/officeDocument/2006/relationships/hyperlink" Target="45_&#12486;&#12473;&#12488;&#12456;&#12499;&#12487;&#12531;&#12473;_&#30011;&#38754;&#32080;&#21512;.xlsx" TargetMode="External" Id="rId19"/><Relationship Type="http://schemas.openxmlformats.org/officeDocument/2006/relationships/hyperlink" Target="45_&#12486;&#12473;&#12488;&#12456;&#12499;&#12487;&#12531;&#12473;_&#30011;&#38754;&#32080;&#21512;.xlsx" TargetMode="External" Id="rId20"/><Relationship Type="http://schemas.openxmlformats.org/officeDocument/2006/relationships/hyperlink" Target="45_&#12486;&#12473;&#12488;&#12456;&#12499;&#12487;&#12531;&#12473;_&#30011;&#38754;&#32080;&#21512;.xlsx" TargetMode="External" Id="rId21"/><Relationship Type="http://schemas.openxmlformats.org/officeDocument/2006/relationships/hyperlink" Target="45_&#12486;&#12473;&#12488;&#12456;&#12499;&#12487;&#12531;&#12473;_&#30011;&#38754;&#32080;&#21512;.xlsx" TargetMode="External" Id="rId22"/><Relationship Type="http://schemas.openxmlformats.org/officeDocument/2006/relationships/hyperlink" Target="45_&#12486;&#12473;&#12488;&#12456;&#12499;&#12487;&#12531;&#12473;_&#30011;&#38754;&#32080;&#21512;.xlsx" TargetMode="External" Id="rId23"/><Relationship Type="http://schemas.openxmlformats.org/officeDocument/2006/relationships/hyperlink" Target="45_&#12486;&#12473;&#12488;&#12456;&#12499;&#12487;&#12531;&#12473;_&#30011;&#38754;&#32080;&#21512;.xlsx" TargetMode="External" Id="rId24"/><Relationship Type="http://schemas.openxmlformats.org/officeDocument/2006/relationships/hyperlink" Target="45_&#12486;&#12473;&#12488;&#12456;&#12499;&#12487;&#12531;&#12473;_&#30011;&#38754;&#32080;&#21512;.xlsx" TargetMode="External" Id="rId25"/><Relationship Type="http://schemas.openxmlformats.org/officeDocument/2006/relationships/hyperlink" Target="45_&#12486;&#12473;&#12488;&#12456;&#12499;&#12487;&#12531;&#12473;_&#30011;&#38754;&#32080;&#21512;.xlsx" TargetMode="External" Id="rId26"/><Relationship Type="http://schemas.openxmlformats.org/officeDocument/2006/relationships/hyperlink" Target="45_&#12486;&#12473;&#12488;&#12456;&#12499;&#12487;&#12531;&#12473;_&#30011;&#38754;&#32080;&#21512;.xlsx" TargetMode="External" Id="rId27"/><Relationship Type="http://schemas.openxmlformats.org/officeDocument/2006/relationships/hyperlink" Target="45_&#12486;&#12473;&#12488;&#12456;&#12499;&#12487;&#12531;&#12473;_&#30011;&#38754;&#32080;&#21512;.xlsx" TargetMode="External" Id="rId28"/><Relationship Type="http://schemas.openxmlformats.org/officeDocument/2006/relationships/hyperlink" Target="45_&#12486;&#12473;&#12488;&#12456;&#12499;&#12487;&#12531;&#12473;_&#30011;&#38754;&#32080;&#21512;.xlsx" TargetMode="External" Id="rId29"/><Relationship Type="http://schemas.openxmlformats.org/officeDocument/2006/relationships/hyperlink" Target="45_&#12486;&#12473;&#12488;&#12456;&#12499;&#12487;&#12531;&#12473;_&#30011;&#38754;&#32080;&#21512;.xlsx" TargetMode="External" Id="rId30"/><Relationship Type="http://schemas.openxmlformats.org/officeDocument/2006/relationships/hyperlink" Target="45_&#12486;&#12473;&#12488;&#12456;&#12499;&#12487;&#12531;&#12473;_&#30011;&#38754;&#32080;&#21512;.xlsx" TargetMode="External" Id="rId31"/><Relationship Type="http://schemas.openxmlformats.org/officeDocument/2006/relationships/hyperlink" Target="45_&#12486;&#12473;&#12488;&#12456;&#12499;&#12487;&#12531;&#12473;_&#30011;&#38754;&#32080;&#21512;.xlsx" TargetMode="External" Id="rId32"/><Relationship Type="http://schemas.openxmlformats.org/officeDocument/2006/relationships/hyperlink" Target="45_&#12486;&#12473;&#12488;&#12456;&#12499;&#12487;&#12531;&#12473;_&#30011;&#38754;&#32080;&#21512;.xlsx" TargetMode="External" Id="rId33"/><Relationship Type="http://schemas.openxmlformats.org/officeDocument/2006/relationships/hyperlink" Target="45_&#12486;&#12473;&#12488;&#12456;&#12499;&#12487;&#12531;&#12473;_&#30011;&#38754;&#32080;&#21512;.xlsx" TargetMode="External" Id="rId34"/><Relationship Type="http://schemas.openxmlformats.org/officeDocument/2006/relationships/hyperlink" Target="45_&#12486;&#12473;&#12488;&#12456;&#12499;&#12487;&#12531;&#12473;_&#30011;&#38754;&#32080;&#21512;.xlsx" TargetMode="External" Id="rId35"/><Relationship Type="http://schemas.openxmlformats.org/officeDocument/2006/relationships/hyperlink" Target="45_&#12486;&#12473;&#12488;&#12456;&#12499;&#12487;&#12531;&#12473;_&#30011;&#38754;&#32080;&#21512;.xlsx" TargetMode="External" Id="rId36"/><Relationship Type="http://schemas.openxmlformats.org/officeDocument/2006/relationships/hyperlink" Target="45_&#12486;&#12473;&#12488;&#12456;&#12499;&#12487;&#12531;&#12473;_&#30011;&#38754;&#32080;&#21512;.xlsx" TargetMode="External" Id="rId37"/><Relationship Type="http://schemas.openxmlformats.org/officeDocument/2006/relationships/hyperlink" Target="45_&#12486;&#12473;&#12488;&#12456;&#12499;&#12487;&#12531;&#12473;_&#30011;&#38754;&#32080;&#21512;.xlsx" TargetMode="External" Id="rId38"/><Relationship Type="http://schemas.openxmlformats.org/officeDocument/2006/relationships/hyperlink" Target="45_&#12486;&#12473;&#12488;&#12456;&#12499;&#12487;&#12531;&#12473;_&#30011;&#38754;&#32080;&#21512;.xlsx" TargetMode="External" Id="rId39"/><Relationship Type="http://schemas.openxmlformats.org/officeDocument/2006/relationships/hyperlink" Target="45_&#12486;&#12473;&#12488;&#12456;&#12499;&#12487;&#12531;&#12473;_&#30011;&#38754;&#32080;&#21512;.xlsx" TargetMode="External" Id="rId40"/><Relationship Type="http://schemas.openxmlformats.org/officeDocument/2006/relationships/hyperlink" Target="45_&#12486;&#12473;&#12488;&#12456;&#12499;&#12487;&#12531;&#12473;_&#30011;&#38754;&#32080;&#21512;.xlsx" TargetMode="External" Id="rId41"/><Relationship Type="http://schemas.openxmlformats.org/officeDocument/2006/relationships/hyperlink" Target="45_&#12486;&#12473;&#12488;&#12456;&#12499;&#12487;&#12531;&#12473;_&#30011;&#38754;&#32080;&#21512;.xlsx" TargetMode="External" Id="rId42"/><Relationship Type="http://schemas.openxmlformats.org/officeDocument/2006/relationships/hyperlink" Target="45_&#12486;&#12473;&#12488;&#12456;&#12499;&#12487;&#12531;&#12473;_&#30011;&#38754;&#32080;&#21512;.xlsx" TargetMode="External" Id="rId43"/><Relationship Type="http://schemas.openxmlformats.org/officeDocument/2006/relationships/hyperlink" Target="45_&#12486;&#12473;&#12488;&#12456;&#12499;&#12487;&#12531;&#12473;_&#30011;&#38754;&#32080;&#21512;.xlsx" TargetMode="External" Id="rId44"/><Relationship Type="http://schemas.openxmlformats.org/officeDocument/2006/relationships/hyperlink" Target="45_&#12486;&#12473;&#12488;&#12456;&#12499;&#12487;&#12531;&#12473;_&#30011;&#38754;&#32080;&#21512;.xlsx" TargetMode="External" Id="rId45"/><Relationship Type="http://schemas.openxmlformats.org/officeDocument/2006/relationships/hyperlink" Target="45_&#12486;&#12473;&#12488;&#12456;&#12499;&#12487;&#12531;&#12473;_&#30011;&#38754;&#32080;&#21512;.xlsx" TargetMode="External" Id="rId46"/><Relationship Type="http://schemas.openxmlformats.org/officeDocument/2006/relationships/hyperlink" Target="45_&#12486;&#12473;&#12488;&#12456;&#12499;&#12487;&#12531;&#12473;_&#30011;&#38754;&#32080;&#21512;.xlsx" TargetMode="External" Id="rId47"/><Relationship Type="http://schemas.openxmlformats.org/officeDocument/2006/relationships/hyperlink" Target="45_&#12486;&#12473;&#12488;&#12456;&#12499;&#12487;&#12531;&#12473;_&#30011;&#38754;&#32080;&#21512;.xlsx" TargetMode="External" Id="rId48"/><Relationship Type="http://schemas.openxmlformats.org/officeDocument/2006/relationships/hyperlink" Target="45_&#12486;&#12473;&#12488;&#12456;&#12499;&#12487;&#12531;&#12473;_&#30011;&#38754;&#32080;&#21512;.xlsx" TargetMode="External" Id="rId49"/><Relationship Type="http://schemas.openxmlformats.org/officeDocument/2006/relationships/hyperlink" Target="45_&#12486;&#12473;&#12488;&#12456;&#12499;&#12487;&#12531;&#12473;_&#30011;&#38754;&#32080;&#21512;.xlsx" TargetMode="External" Id="rId50"/><Relationship Type="http://schemas.openxmlformats.org/officeDocument/2006/relationships/hyperlink" Target="45_&#12486;&#12473;&#12488;&#12456;&#12499;&#12487;&#12531;&#12473;_&#30011;&#38754;&#32080;&#21512;.xlsx" TargetMode="External" Id="rId51"/><Relationship Type="http://schemas.openxmlformats.org/officeDocument/2006/relationships/hyperlink" Target="45_&#12486;&#12473;&#12488;&#12456;&#12499;&#12487;&#12531;&#12473;_&#30011;&#38754;&#32080;&#21512;.xlsx" TargetMode="External" Id="rId52"/><Relationship Type="http://schemas.openxmlformats.org/officeDocument/2006/relationships/hyperlink" Target="45_&#12486;&#12473;&#12488;&#12456;&#12499;&#12487;&#12531;&#12473;_&#30011;&#38754;&#32080;&#21512;.xlsx" TargetMode="External" Id="rId53"/><Relationship Type="http://schemas.openxmlformats.org/officeDocument/2006/relationships/hyperlink" Target="45_&#12486;&#12473;&#12488;&#12456;&#12499;&#12487;&#12531;&#12473;_&#30011;&#38754;&#32080;&#21512;.xlsx" TargetMode="External" Id="rId54"/><Relationship Type="http://schemas.openxmlformats.org/officeDocument/2006/relationships/hyperlink" Target="45_&#12486;&#12473;&#12488;&#12456;&#12499;&#12487;&#12531;&#12473;_&#30011;&#38754;&#32080;&#21512;.xlsx" TargetMode="External" Id="rId55"/><Relationship Type="http://schemas.openxmlformats.org/officeDocument/2006/relationships/hyperlink" Target="45_&#12486;&#12473;&#12488;&#12456;&#12499;&#12487;&#12531;&#12473;_&#30011;&#38754;&#32080;&#21512;.xlsx" TargetMode="External" Id="rId56"/><Relationship Type="http://schemas.openxmlformats.org/officeDocument/2006/relationships/hyperlink" Target="45_&#12486;&#12473;&#12488;&#12456;&#12499;&#12487;&#12531;&#12473;_&#30011;&#38754;&#32080;&#21512;.xlsx" TargetMode="External" Id="rId57"/><Relationship Type="http://schemas.openxmlformats.org/officeDocument/2006/relationships/hyperlink" Target="45_&#12486;&#12473;&#12488;&#12456;&#12499;&#12487;&#12531;&#12473;_&#30011;&#38754;&#32080;&#21512;.xlsx" TargetMode="External" Id="rId58"/><Relationship Type="http://schemas.openxmlformats.org/officeDocument/2006/relationships/hyperlink" Target="45_&#12486;&#12473;&#12488;&#12456;&#12499;&#12487;&#12531;&#12473;_&#30011;&#38754;&#32080;&#21512;.xlsx" TargetMode="External" Id="rId59"/><Relationship Type="http://schemas.openxmlformats.org/officeDocument/2006/relationships/hyperlink" Target="45_&#12486;&#12473;&#12488;&#12456;&#12499;&#12487;&#12531;&#12473;_&#30011;&#38754;&#32080;&#21512;.xlsx" TargetMode="External" Id="rId60"/><Relationship Type="http://schemas.openxmlformats.org/officeDocument/2006/relationships/hyperlink" Target="45_&#12486;&#12473;&#12488;&#12456;&#12499;&#12487;&#12531;&#12473;_&#30011;&#38754;&#32080;&#21512;.xlsx" TargetMode="External" Id="rId61"/><Relationship Type="http://schemas.openxmlformats.org/officeDocument/2006/relationships/hyperlink" Target="45_&#12486;&#12473;&#12488;&#12456;&#12499;&#12487;&#12531;&#12473;_&#30011;&#38754;&#32080;&#21512;.xlsx" TargetMode="External" Id="rId62"/><Relationship Type="http://schemas.openxmlformats.org/officeDocument/2006/relationships/hyperlink" Target="45_&#12486;&#12473;&#12488;&#12456;&#12499;&#12487;&#12531;&#12473;_&#30011;&#38754;&#32080;&#21512;.xlsx" TargetMode="External" Id="rId63"/><Relationship Type="http://schemas.openxmlformats.org/officeDocument/2006/relationships/hyperlink" Target="45_&#12486;&#12473;&#12488;&#12456;&#12499;&#12487;&#12531;&#12473;_&#30011;&#38754;&#32080;&#21512;.xlsx" TargetMode="External" Id="rId64"/><Relationship Type="http://schemas.openxmlformats.org/officeDocument/2006/relationships/hyperlink" Target="45_&#12486;&#12473;&#12488;&#12456;&#12499;&#12487;&#12531;&#12473;_&#30011;&#38754;&#32080;&#21512;.xlsx" TargetMode="External" Id="rId65"/><Relationship Type="http://schemas.openxmlformats.org/officeDocument/2006/relationships/hyperlink" Target="45_&#12486;&#12473;&#12488;&#12456;&#12499;&#12487;&#12531;&#12473;_&#30011;&#38754;&#32080;&#21512;.xlsx" TargetMode="External" Id="rId66"/><Relationship Type="http://schemas.openxmlformats.org/officeDocument/2006/relationships/hyperlink" Target="45_&#12486;&#12473;&#12488;&#12456;&#12499;&#12487;&#12531;&#12473;_&#30011;&#38754;&#32080;&#21512;.xlsx" TargetMode="External" Id="rId67"/><Relationship Type="http://schemas.openxmlformats.org/officeDocument/2006/relationships/hyperlink" Target="45_&#12486;&#12473;&#12488;&#12456;&#12499;&#12487;&#12531;&#12473;_&#30011;&#38754;&#32080;&#21512;.xlsx" TargetMode="External" Id="rId68"/><Relationship Type="http://schemas.openxmlformats.org/officeDocument/2006/relationships/hyperlink" Target="45_&#12486;&#12473;&#12488;&#12456;&#12499;&#12487;&#12531;&#12473;_&#30011;&#38754;&#32080;&#21512;.xlsx" TargetMode="External" Id="rId69"/><Relationship Type="http://schemas.openxmlformats.org/officeDocument/2006/relationships/hyperlink" Target="45_&#12486;&#12473;&#12488;&#12456;&#12499;&#12487;&#12531;&#12473;_&#30011;&#38754;&#32080;&#21512;.xlsx" TargetMode="External" Id="rId70"/><Relationship Type="http://schemas.openxmlformats.org/officeDocument/2006/relationships/hyperlink" Target="45_&#12486;&#12473;&#12488;&#12456;&#12499;&#12487;&#12531;&#12473;_&#30011;&#38754;&#32080;&#21512;.xlsx" TargetMode="External" Id="rId71"/><Relationship Type="http://schemas.openxmlformats.org/officeDocument/2006/relationships/hyperlink" Target="45_&#12486;&#12473;&#12488;&#12456;&#12499;&#12487;&#12531;&#12473;_&#30011;&#38754;&#32080;&#21512;.xlsx" TargetMode="External" Id="rId72"/><Relationship Type="http://schemas.openxmlformats.org/officeDocument/2006/relationships/hyperlink" Target="45_&#12486;&#12473;&#12488;&#12456;&#12499;&#12487;&#12531;&#12473;_&#30011;&#38754;&#32080;&#21512;.xlsx" TargetMode="External" Id="rId73"/><Relationship Type="http://schemas.openxmlformats.org/officeDocument/2006/relationships/hyperlink" Target="45_&#12486;&#12473;&#12488;&#12456;&#12499;&#12487;&#12531;&#12473;_&#30011;&#38754;&#32080;&#21512;.xlsx" TargetMode="External" Id="rId74"/><Relationship Type="http://schemas.openxmlformats.org/officeDocument/2006/relationships/hyperlink" Target="45_&#12486;&#12473;&#12488;&#12456;&#12499;&#12487;&#12531;&#12473;_&#30011;&#38754;&#32080;&#21512;.xlsx" TargetMode="External" Id="rId75"/><Relationship Type="http://schemas.openxmlformats.org/officeDocument/2006/relationships/hyperlink" Target="45_&#12486;&#12473;&#12488;&#12456;&#12499;&#12487;&#12531;&#12473;_&#30011;&#38754;&#32080;&#21512;.xlsx" TargetMode="External" Id="rId76"/><Relationship Type="http://schemas.openxmlformats.org/officeDocument/2006/relationships/hyperlink" Target="45_&#12486;&#12473;&#12488;&#12456;&#12499;&#12487;&#12531;&#12473;_&#30011;&#38754;&#32080;&#21512;.xlsx" TargetMode="External" Id="rId77"/><Relationship Type="http://schemas.openxmlformats.org/officeDocument/2006/relationships/hyperlink" Target="45_&#12486;&#12473;&#12488;&#12456;&#12499;&#12487;&#12531;&#12473;_&#30011;&#38754;&#32080;&#21512;.xlsx" TargetMode="External" Id="rId78"/><Relationship Type="http://schemas.openxmlformats.org/officeDocument/2006/relationships/hyperlink" Target="45_&#12486;&#12473;&#12488;&#12456;&#12499;&#12487;&#12531;&#12473;_&#30011;&#38754;&#32080;&#21512;.xlsx" TargetMode="External" Id="rId79"/><Relationship Type="http://schemas.openxmlformats.org/officeDocument/2006/relationships/hyperlink" Target="45_&#12486;&#12473;&#12488;&#12456;&#12499;&#12487;&#12531;&#12473;_&#30011;&#38754;&#32080;&#21512;.xlsx" TargetMode="External" Id="rId80"/><Relationship Type="http://schemas.openxmlformats.org/officeDocument/2006/relationships/hyperlink" Target="45_&#12486;&#12473;&#12488;&#12456;&#12499;&#12487;&#12531;&#12473;_&#30011;&#38754;&#32080;&#21512;.xlsx" TargetMode="External" Id="rId81"/><Relationship Type="http://schemas.openxmlformats.org/officeDocument/2006/relationships/hyperlink" Target="45_&#12486;&#12473;&#12488;&#12456;&#12499;&#12487;&#12531;&#12473;_&#30011;&#38754;&#32080;&#21512;.xlsx" TargetMode="External" Id="rId82"/><Relationship Type="http://schemas.openxmlformats.org/officeDocument/2006/relationships/hyperlink" Target="45_&#12486;&#12473;&#12488;&#12456;&#12499;&#12487;&#12531;&#12473;_&#30011;&#38754;&#32080;&#21512;.xlsx" TargetMode="External" Id="rId83"/><Relationship Type="http://schemas.openxmlformats.org/officeDocument/2006/relationships/hyperlink" Target="45_&#12486;&#12473;&#12488;&#12456;&#12499;&#12487;&#12531;&#12473;_&#30011;&#38754;&#32080;&#21512;.xlsx" TargetMode="External" Id="rId84"/><Relationship Type="http://schemas.openxmlformats.org/officeDocument/2006/relationships/hyperlink" Target="45_&#12486;&#12473;&#12488;&#12456;&#12499;&#12487;&#12531;&#12473;_&#30011;&#38754;&#32080;&#21512;.xlsx" TargetMode="External" Id="rId85"/><Relationship Type="http://schemas.openxmlformats.org/officeDocument/2006/relationships/hyperlink" Target="45_&#12486;&#12473;&#12488;&#12456;&#12499;&#12487;&#12531;&#12473;_&#30011;&#38754;&#32080;&#21512;.xlsx" TargetMode="External" Id="rId86"/><Relationship Type="http://schemas.openxmlformats.org/officeDocument/2006/relationships/hyperlink" Target="45_&#12486;&#12473;&#12488;&#12456;&#12499;&#12487;&#12531;&#12473;_&#30011;&#38754;&#32080;&#21512;.xlsx" TargetMode="External" Id="rId87"/><Relationship Type="http://schemas.openxmlformats.org/officeDocument/2006/relationships/hyperlink" Target="45_&#12486;&#12473;&#12488;&#12456;&#12499;&#12487;&#12531;&#12473;_&#30011;&#38754;&#32080;&#21512;.xlsx" TargetMode="External" Id="rId88"/><Relationship Type="http://schemas.openxmlformats.org/officeDocument/2006/relationships/hyperlink" Target="45_&#12486;&#12473;&#12488;&#12456;&#12499;&#12487;&#12531;&#12473;_&#30011;&#38754;&#32080;&#21512;.xlsx" TargetMode="External" Id="rId89"/><Relationship Type="http://schemas.openxmlformats.org/officeDocument/2006/relationships/hyperlink" Target="45_&#12486;&#12473;&#12488;&#12456;&#12499;&#12487;&#12531;&#12473;_&#30011;&#38754;&#32080;&#21512;.xlsx" TargetMode="External" Id="rId90"/><Relationship Type="http://schemas.openxmlformats.org/officeDocument/2006/relationships/hyperlink" Target="45_&#12486;&#12473;&#12488;&#12456;&#12499;&#12487;&#12531;&#12473;_&#30011;&#38754;&#32080;&#21512;.xlsx" TargetMode="External" Id="rId91"/><Relationship Type="http://schemas.openxmlformats.org/officeDocument/2006/relationships/hyperlink" Target="45_&#12486;&#12473;&#12488;&#12456;&#12499;&#12487;&#12531;&#12473;_&#30011;&#38754;&#32080;&#21512;.xlsx" TargetMode="External" Id="rId92"/><Relationship Type="http://schemas.openxmlformats.org/officeDocument/2006/relationships/hyperlink" Target="45_&#12486;&#12473;&#12488;&#12456;&#12499;&#12487;&#12531;&#12473;_&#30011;&#38754;&#32080;&#21512;.xlsx" TargetMode="External" Id="rId93"/><Relationship Type="http://schemas.openxmlformats.org/officeDocument/2006/relationships/hyperlink" Target="45_&#12486;&#12473;&#12488;&#12456;&#12499;&#12487;&#12531;&#12473;_&#30011;&#38754;&#32080;&#21512;.xlsx" TargetMode="External" Id="rId94"/><Relationship Type="http://schemas.openxmlformats.org/officeDocument/2006/relationships/hyperlink" Target="45_&#12486;&#12473;&#12488;&#12456;&#12499;&#12487;&#12531;&#12473;_&#30011;&#38754;&#32080;&#21512;.xlsx" TargetMode="External" Id="rId95"/><Relationship Type="http://schemas.openxmlformats.org/officeDocument/2006/relationships/hyperlink" Target="45_&#12486;&#12473;&#12488;&#12456;&#12499;&#12487;&#12531;&#12473;_&#30011;&#38754;&#32080;&#21512;.xlsx" TargetMode="External" Id="rId96"/><Relationship Type="http://schemas.openxmlformats.org/officeDocument/2006/relationships/hyperlink" Target="45_&#12486;&#12473;&#12488;&#12456;&#12499;&#12487;&#12531;&#12473;_&#30011;&#38754;&#32080;&#21512;.xlsx" TargetMode="External" Id="rId97"/><Relationship Type="http://schemas.openxmlformats.org/officeDocument/2006/relationships/hyperlink" Target="45_&#12486;&#12473;&#12488;&#12456;&#12499;&#12487;&#12531;&#12473;_&#30011;&#38754;&#32080;&#21512;.xlsx" TargetMode="External" Id="rId98"/><Relationship Type="http://schemas.openxmlformats.org/officeDocument/2006/relationships/hyperlink" Target="45_&#12486;&#12473;&#12488;&#12456;&#12499;&#12487;&#12531;&#12473;_&#30011;&#38754;&#32080;&#21512;.xlsx" TargetMode="External" Id="rId99"/><Relationship Type="http://schemas.openxmlformats.org/officeDocument/2006/relationships/hyperlink" Target="45_&#12486;&#12473;&#12488;&#12456;&#12499;&#12487;&#12531;&#12473;_&#30011;&#38754;&#32080;&#21512;.xlsx" TargetMode="External" Id="rId100"/><Relationship Type="http://schemas.openxmlformats.org/officeDocument/2006/relationships/hyperlink" Target="45_&#12486;&#12473;&#12488;&#12456;&#12499;&#12487;&#12531;&#12473;_&#30011;&#38754;&#32080;&#21512;.xlsx" TargetMode="External" Id="rId101"/><Relationship Type="http://schemas.openxmlformats.org/officeDocument/2006/relationships/hyperlink" Target="45_&#12486;&#12473;&#12488;&#12456;&#12499;&#12487;&#12531;&#12473;_&#30011;&#38754;&#32080;&#21512;.xlsx" TargetMode="External" Id="rId102"/><Relationship Type="http://schemas.openxmlformats.org/officeDocument/2006/relationships/hyperlink" Target="45_&#12486;&#12473;&#12488;&#12456;&#12499;&#12487;&#12531;&#12473;_&#30011;&#38754;&#32080;&#21512;.xlsx" TargetMode="External" Id="rId103"/><Relationship Type="http://schemas.openxmlformats.org/officeDocument/2006/relationships/hyperlink" Target="45_&#12486;&#12473;&#12488;&#12456;&#12499;&#12487;&#12531;&#12473;_&#30011;&#38754;&#32080;&#21512;.xlsx" TargetMode="External" Id="rId104"/><Relationship Type="http://schemas.openxmlformats.org/officeDocument/2006/relationships/hyperlink" Target="45_&#12486;&#12473;&#12488;&#12456;&#12499;&#12487;&#12531;&#12473;_&#30011;&#38754;&#32080;&#21512;.xlsx" TargetMode="External" Id="rId105"/><Relationship Type="http://schemas.openxmlformats.org/officeDocument/2006/relationships/hyperlink" Target="45_&#12486;&#12473;&#12488;&#12456;&#12499;&#12487;&#12531;&#12473;_&#30011;&#38754;&#32080;&#21512;.xlsx" TargetMode="External" Id="rId106"/><Relationship Type="http://schemas.openxmlformats.org/officeDocument/2006/relationships/hyperlink" Target="45_&#12486;&#12473;&#12488;&#12456;&#12499;&#12487;&#12531;&#12473;_&#30011;&#38754;&#32080;&#21512;.xlsx" TargetMode="External" Id="rId107"/><Relationship Type="http://schemas.openxmlformats.org/officeDocument/2006/relationships/hyperlink" Target="45_&#12486;&#12473;&#12488;&#12456;&#12499;&#12487;&#12531;&#12473;_&#30011;&#38754;&#32080;&#21512;.xlsx" TargetMode="External" Id="rId108"/><Relationship Type="http://schemas.openxmlformats.org/officeDocument/2006/relationships/hyperlink" Target="45_&#12486;&#12473;&#12488;&#12456;&#12499;&#12487;&#12531;&#12473;_&#30011;&#38754;&#32080;&#21512;.xlsx" TargetMode="External" Id="rId109"/><Relationship Type="http://schemas.openxmlformats.org/officeDocument/2006/relationships/hyperlink" Target="45_&#12486;&#12473;&#12488;&#12456;&#12499;&#12487;&#12531;&#12473;_&#30011;&#38754;&#32080;&#21512;.xlsx" TargetMode="External" Id="rId110"/><Relationship Type="http://schemas.openxmlformats.org/officeDocument/2006/relationships/hyperlink" Target="45_&#12486;&#12473;&#12488;&#12456;&#12499;&#12487;&#12531;&#12473;_&#30011;&#38754;&#32080;&#21512;.xlsx" TargetMode="External" Id="rId111"/><Relationship Type="http://schemas.openxmlformats.org/officeDocument/2006/relationships/hyperlink" Target="45_&#12486;&#12473;&#12488;&#12456;&#12499;&#12487;&#12531;&#12473;_&#30011;&#38754;&#32080;&#21512;.xlsx" TargetMode="External" Id="rId112"/><Relationship Type="http://schemas.openxmlformats.org/officeDocument/2006/relationships/hyperlink" Target="45_&#12486;&#12473;&#12488;&#12456;&#12499;&#12487;&#12531;&#12473;_&#30011;&#38754;&#32080;&#21512;.xlsx" TargetMode="External" Id="rId113"/><Relationship Type="http://schemas.openxmlformats.org/officeDocument/2006/relationships/hyperlink" Target="45_&#12486;&#12473;&#12488;&#12456;&#12499;&#12487;&#12531;&#12473;_&#30011;&#38754;&#32080;&#21512;.xlsx" TargetMode="External" Id="rId114"/><Relationship Type="http://schemas.openxmlformats.org/officeDocument/2006/relationships/hyperlink" Target="45_&#12486;&#12473;&#12488;&#12456;&#12499;&#12487;&#12531;&#12473;_&#30011;&#38754;&#32080;&#21512;.xlsx" TargetMode="External" Id="rId115"/><Relationship Type="http://schemas.openxmlformats.org/officeDocument/2006/relationships/hyperlink" Target="45_&#12486;&#12473;&#12488;&#12456;&#12499;&#12487;&#12531;&#12473;_&#30011;&#38754;&#32080;&#21512;.xlsx" TargetMode="External" Id="rId116"/><Relationship Type="http://schemas.openxmlformats.org/officeDocument/2006/relationships/hyperlink" Target="45_&#12486;&#12473;&#12488;&#12456;&#12499;&#12487;&#12531;&#12473;_&#30011;&#38754;&#32080;&#21512;.xlsx" TargetMode="External" Id="rId117"/><Relationship Type="http://schemas.openxmlformats.org/officeDocument/2006/relationships/hyperlink" Target="45_&#12486;&#12473;&#12488;&#12456;&#12499;&#12487;&#12531;&#12473;_&#30011;&#38754;&#32080;&#21512;.xlsx" TargetMode="External" Id="rId118"/><Relationship Type="http://schemas.openxmlformats.org/officeDocument/2006/relationships/hyperlink" Target="45_&#12486;&#12473;&#12488;&#12456;&#12499;&#12487;&#12531;&#12473;_&#30011;&#38754;&#32080;&#21512;.xlsx" TargetMode="External" Id="rId119"/><Relationship Type="http://schemas.openxmlformats.org/officeDocument/2006/relationships/hyperlink" Target="45_&#12486;&#12473;&#12488;&#12456;&#12499;&#12487;&#12531;&#12473;_&#30011;&#38754;&#32080;&#21512;.xlsx" TargetMode="External" Id="rId120"/><Relationship Type="http://schemas.openxmlformats.org/officeDocument/2006/relationships/hyperlink" Target="45_&#12486;&#12473;&#12488;&#12456;&#12499;&#12487;&#12531;&#12473;_&#30011;&#38754;&#32080;&#21512;.xlsx" TargetMode="External" Id="rId121"/><Relationship Type="http://schemas.openxmlformats.org/officeDocument/2006/relationships/hyperlink" Target="45_&#12486;&#12473;&#12488;&#12456;&#12499;&#12487;&#12531;&#12473;_&#30011;&#38754;&#32080;&#21512;.xlsx" TargetMode="External" Id="rId122"/><Relationship Type="http://schemas.openxmlformats.org/officeDocument/2006/relationships/hyperlink" Target="45_&#12486;&#12473;&#12488;&#12456;&#12499;&#12487;&#12531;&#12473;_&#30011;&#38754;&#32080;&#21512;.xlsx" TargetMode="External" Id="rId123"/><Relationship Type="http://schemas.openxmlformats.org/officeDocument/2006/relationships/hyperlink" Target="45_&#12486;&#12473;&#12488;&#12456;&#12499;&#12487;&#12531;&#12473;_&#30011;&#38754;&#32080;&#21512;.xlsx" TargetMode="External" Id="rId124"/><Relationship Type="http://schemas.openxmlformats.org/officeDocument/2006/relationships/hyperlink" Target="45_&#12486;&#12473;&#12488;&#12456;&#12499;&#12487;&#12531;&#12473;_&#30011;&#38754;&#32080;&#21512;.xlsx" TargetMode="External" Id="rId125"/><Relationship Type="http://schemas.openxmlformats.org/officeDocument/2006/relationships/hyperlink" Target="45_&#12486;&#12473;&#12488;&#12456;&#12499;&#12487;&#12531;&#12473;_&#30011;&#38754;&#32080;&#21512;.xlsx" TargetMode="External" Id="rId126"/><Relationship Type="http://schemas.openxmlformats.org/officeDocument/2006/relationships/hyperlink" Target="45_&#12486;&#12473;&#12488;&#12456;&#12499;&#12487;&#12531;&#12473;_&#30011;&#38754;&#32080;&#21512;.xlsx" TargetMode="External" Id="rId127"/><Relationship Type="http://schemas.openxmlformats.org/officeDocument/2006/relationships/hyperlink" Target="45_&#12486;&#12473;&#12488;&#12456;&#12499;&#12487;&#12531;&#12473;_&#30011;&#38754;&#32080;&#21512;.xlsx" TargetMode="External" Id="rId128"/><Relationship Type="http://schemas.openxmlformats.org/officeDocument/2006/relationships/hyperlink" Target="45_&#12486;&#12473;&#12488;&#12456;&#12499;&#12487;&#12531;&#12473;_&#30011;&#38754;&#32080;&#21512;.xlsx" TargetMode="External" Id="rId129"/><Relationship Type="http://schemas.openxmlformats.org/officeDocument/2006/relationships/hyperlink" Target="45_&#12486;&#12473;&#12488;&#12456;&#12499;&#12487;&#12531;&#12473;_&#30011;&#38754;&#32080;&#21512;.xlsx" TargetMode="External" Id="rId130"/><Relationship Type="http://schemas.openxmlformats.org/officeDocument/2006/relationships/hyperlink" Target="45_&#12486;&#12473;&#12488;&#12456;&#12499;&#12487;&#12531;&#12473;_&#30011;&#38754;&#32080;&#21512;.xlsx" TargetMode="External" Id="rId131"/><Relationship Type="http://schemas.openxmlformats.org/officeDocument/2006/relationships/hyperlink" Target="45_&#12486;&#12473;&#12488;&#12456;&#12499;&#12487;&#12531;&#12473;_&#30011;&#38754;&#32080;&#21512;.xlsx" TargetMode="External" Id="rId132"/></Relationships>
</file>

<file path=xl/worksheets/_rels/sheet5.xml.rels><Relationships xmlns="http://schemas.openxmlformats.org/package/2006/relationships"><Relationship Type="http://schemas.openxmlformats.org/officeDocument/2006/relationships/hyperlink" Target="45_&#12486;&#12473;&#12488;&#12456;&#12499;&#12487;&#12531;&#12473;_&#32207;&#21512;.xlsx" TargetMode="External" Id="rId1"/><Relationship Type="http://schemas.openxmlformats.org/officeDocument/2006/relationships/hyperlink" Target="45_&#12486;&#12473;&#12488;&#12456;&#12499;&#12487;&#12531;&#12473;_&#32207;&#21512;.xlsx" TargetMode="External" Id="rId2"/><Relationship Type="http://schemas.openxmlformats.org/officeDocument/2006/relationships/hyperlink" Target="45_&#12486;&#12473;&#12488;&#12456;&#12499;&#12487;&#12531;&#12473;_&#32207;&#21512;.xlsx" TargetMode="External" Id="rId3"/><Relationship Type="http://schemas.openxmlformats.org/officeDocument/2006/relationships/hyperlink" Target="45_&#12486;&#12473;&#12488;&#12456;&#12499;&#12487;&#12531;&#12473;_&#32207;&#21512;.xlsx" TargetMode="External" Id="rId4"/><Relationship Type="http://schemas.openxmlformats.org/officeDocument/2006/relationships/hyperlink" Target="45_&#12486;&#12473;&#12488;&#12456;&#12499;&#12487;&#12531;&#12473;_&#32207;&#21512;.xlsx" TargetMode="External" Id="rId5"/><Relationship Type="http://schemas.openxmlformats.org/officeDocument/2006/relationships/hyperlink" Target="45_&#12486;&#12473;&#12488;&#12456;&#12499;&#12487;&#12531;&#12473;_&#32207;&#21512;.xlsx" TargetMode="External" Id="rId6"/><Relationship Type="http://schemas.openxmlformats.org/officeDocument/2006/relationships/hyperlink" Target="45_&#12486;&#12473;&#12488;&#12456;&#12499;&#12487;&#12531;&#12473;_&#32207;&#21512;.xlsx" TargetMode="External" Id="rId7"/><Relationship Type="http://schemas.openxmlformats.org/officeDocument/2006/relationships/hyperlink" Target="45_&#12486;&#12473;&#12488;&#12456;&#12499;&#12487;&#12531;&#12473;_&#32207;&#21512;.xlsx" TargetMode="External" Id="rId8"/><Relationship Type="http://schemas.openxmlformats.org/officeDocument/2006/relationships/hyperlink" Target="45_&#12486;&#12473;&#12488;&#12456;&#12499;&#12487;&#12531;&#12473;_&#32207;&#21512;.xlsx" TargetMode="External" Id="rId9"/><Relationship Type="http://schemas.openxmlformats.org/officeDocument/2006/relationships/hyperlink" Target="45_&#12486;&#12473;&#12488;&#12456;&#12499;&#12487;&#12531;&#12473;_&#32207;&#21512;.xlsx" TargetMode="External" Id="rId10"/><Relationship Type="http://schemas.openxmlformats.org/officeDocument/2006/relationships/hyperlink" Target="45_&#12486;&#12473;&#12488;&#12456;&#12499;&#12487;&#12531;&#12473;_&#32207;&#21512;.xlsx" TargetMode="External" Id="rId11"/><Relationship Type="http://schemas.openxmlformats.org/officeDocument/2006/relationships/hyperlink" Target="45_&#12486;&#12473;&#12488;&#12456;&#12499;&#12487;&#12531;&#12473;_&#32207;&#21512;.xlsx" TargetMode="External" Id="rId12"/><Relationship Type="http://schemas.openxmlformats.org/officeDocument/2006/relationships/hyperlink" Target="45_&#12486;&#12473;&#12488;&#12456;&#12499;&#12487;&#12531;&#12473;_&#32207;&#21512;.xlsx" TargetMode="External" Id="rId13"/><Relationship Type="http://schemas.openxmlformats.org/officeDocument/2006/relationships/hyperlink" Target="45_&#12486;&#12473;&#12488;&#12456;&#12499;&#12487;&#12531;&#12473;_&#32207;&#21512;.xlsx" TargetMode="External" Id="rId14"/><Relationship Type="http://schemas.openxmlformats.org/officeDocument/2006/relationships/hyperlink" Target="45_&#12486;&#12473;&#12488;&#12456;&#12499;&#12487;&#12531;&#12473;_&#32207;&#21512;.xlsx" TargetMode="External" Id="rId15"/><Relationship Type="http://schemas.openxmlformats.org/officeDocument/2006/relationships/hyperlink" Target="45_&#12486;&#12473;&#12488;&#12456;&#12499;&#12487;&#12531;&#12473;_&#32207;&#21512;.xlsx" TargetMode="External" Id="rId16"/><Relationship Type="http://schemas.openxmlformats.org/officeDocument/2006/relationships/hyperlink" Target="45_&#12486;&#12473;&#12488;&#12456;&#12499;&#12487;&#12531;&#12473;_&#32207;&#21512;.xlsx" TargetMode="External" Id="rId17"/><Relationship Type="http://schemas.openxmlformats.org/officeDocument/2006/relationships/hyperlink" Target="45_&#12486;&#12473;&#12488;&#12456;&#12499;&#12487;&#12531;&#12473;_&#32207;&#21512;.xlsx" TargetMode="External" Id="rId18"/><Relationship Type="http://schemas.openxmlformats.org/officeDocument/2006/relationships/hyperlink" Target="45_&#12486;&#12473;&#12488;&#12456;&#12499;&#12487;&#12531;&#12473;_&#32207;&#21512;.xlsx" TargetMode="External" Id="rId19"/><Relationship Type="http://schemas.openxmlformats.org/officeDocument/2006/relationships/hyperlink" Target="45_&#12486;&#12473;&#12488;&#12456;&#12499;&#12487;&#12531;&#12473;_&#32207;&#21512;.xlsx" TargetMode="External" Id="rId20"/><Relationship Type="http://schemas.openxmlformats.org/officeDocument/2006/relationships/hyperlink" Target="45_&#12486;&#12473;&#12488;&#12456;&#12499;&#12487;&#12531;&#12473;_&#32207;&#21512;.xlsx" TargetMode="External" Id="rId21"/><Relationship Type="http://schemas.openxmlformats.org/officeDocument/2006/relationships/hyperlink" Target="45_&#12486;&#12473;&#12488;&#12456;&#12499;&#12487;&#12531;&#12473;_&#32207;&#21512;.xlsx" TargetMode="External" Id="rId22"/><Relationship Type="http://schemas.openxmlformats.org/officeDocument/2006/relationships/hyperlink" Target="45_&#12486;&#12473;&#12488;&#12456;&#12499;&#12487;&#12531;&#12473;_&#32207;&#21512;.xlsx" TargetMode="External" Id="rId23"/><Relationship Type="http://schemas.openxmlformats.org/officeDocument/2006/relationships/hyperlink" Target="45_&#12486;&#12473;&#12488;&#12456;&#12499;&#12487;&#12531;&#12473;_&#32207;&#21512;.xlsx" TargetMode="External" Id="rId24"/><Relationship Type="http://schemas.openxmlformats.org/officeDocument/2006/relationships/hyperlink" Target="45_&#12486;&#12473;&#12488;&#12456;&#12499;&#12487;&#12531;&#12473;_&#32207;&#21512;.xlsx" TargetMode="External" Id="rId25"/><Relationship Type="http://schemas.openxmlformats.org/officeDocument/2006/relationships/hyperlink" Target="45_&#12486;&#12473;&#12488;&#12456;&#12499;&#12487;&#12531;&#12473;_&#32207;&#21512;.xlsx" TargetMode="External" Id="rId26"/><Relationship Type="http://schemas.openxmlformats.org/officeDocument/2006/relationships/hyperlink" Target="45_&#12486;&#12473;&#12488;&#12456;&#12499;&#12487;&#12531;&#12473;_&#32207;&#21512;.xlsx" TargetMode="External" Id="rId27"/><Relationship Type="http://schemas.openxmlformats.org/officeDocument/2006/relationships/hyperlink" Target="45_&#12486;&#12473;&#12488;&#12456;&#12499;&#12487;&#12531;&#12473;_&#32207;&#21512;.xlsx" TargetMode="External" Id="rId28"/><Relationship Type="http://schemas.openxmlformats.org/officeDocument/2006/relationships/hyperlink" Target="45_&#12486;&#12473;&#12488;&#12456;&#12499;&#12487;&#12531;&#12473;_&#32207;&#21512;.xlsx" TargetMode="External" Id="rId29"/><Relationship Type="http://schemas.openxmlformats.org/officeDocument/2006/relationships/hyperlink" Target="45_&#12486;&#12473;&#12488;&#12456;&#12499;&#12487;&#12531;&#12473;_&#32207;&#21512;.xlsx" TargetMode="External" Id="rId30"/><Relationship Type="http://schemas.openxmlformats.org/officeDocument/2006/relationships/hyperlink" Target="45_&#12486;&#12473;&#12488;&#12456;&#12499;&#12487;&#12531;&#12473;_&#32207;&#21512;.xlsx" TargetMode="External" Id="rId31"/><Relationship Type="http://schemas.openxmlformats.org/officeDocument/2006/relationships/hyperlink" Target="45_&#12486;&#12473;&#12488;&#12456;&#12499;&#12487;&#12531;&#12473;_&#32207;&#21512;.xlsx" TargetMode="External" Id="rId32"/><Relationship Type="http://schemas.openxmlformats.org/officeDocument/2006/relationships/hyperlink" Target="45_&#12486;&#12473;&#12488;&#12456;&#12499;&#12487;&#12531;&#12473;_&#32207;&#21512;.xlsx" TargetMode="External" Id="rId33"/><Relationship Type="http://schemas.openxmlformats.org/officeDocument/2006/relationships/hyperlink" Target="45_&#12486;&#12473;&#12488;&#12456;&#12499;&#12487;&#12531;&#12473;_&#32207;&#21512;.xlsx" TargetMode="External" Id="rId34"/><Relationship Type="http://schemas.openxmlformats.org/officeDocument/2006/relationships/hyperlink" Target="45_&#12486;&#12473;&#12488;&#12456;&#12499;&#12487;&#12531;&#12473;_&#32207;&#21512;.xlsx" TargetMode="External" Id="rId35"/><Relationship Type="http://schemas.openxmlformats.org/officeDocument/2006/relationships/hyperlink" Target="45_&#12486;&#12473;&#12488;&#12456;&#12499;&#12487;&#12531;&#12473;_&#32207;&#21512;.xlsx" TargetMode="External" Id="rId36"/><Relationship Type="http://schemas.openxmlformats.org/officeDocument/2006/relationships/hyperlink" Target="45_&#12486;&#12473;&#12488;&#12456;&#12499;&#12487;&#12531;&#12473;_&#32207;&#21512;.xlsx" TargetMode="External" Id="rId37"/><Relationship Type="http://schemas.openxmlformats.org/officeDocument/2006/relationships/hyperlink" Target="45_&#12486;&#12473;&#12488;&#12456;&#12499;&#12487;&#12531;&#12473;_&#32207;&#21512;.xlsx" TargetMode="External" Id="rId38"/><Relationship Type="http://schemas.openxmlformats.org/officeDocument/2006/relationships/hyperlink" Target="45_&#12486;&#12473;&#12488;&#12456;&#12499;&#12487;&#12531;&#12473;_&#32207;&#21512;.xlsx" TargetMode="External" Id="rId39"/><Relationship Type="http://schemas.openxmlformats.org/officeDocument/2006/relationships/hyperlink" Target="45_&#12486;&#12473;&#12488;&#12456;&#12499;&#12487;&#12531;&#12473;_&#32207;&#21512;.xlsx" TargetMode="External" Id="rId40"/><Relationship Type="http://schemas.openxmlformats.org/officeDocument/2006/relationships/hyperlink" Target="45_&#12486;&#12473;&#12488;&#12456;&#12499;&#12487;&#12531;&#12473;_&#32207;&#21512;.xlsx" TargetMode="External" Id="rId41"/><Relationship Type="http://schemas.openxmlformats.org/officeDocument/2006/relationships/hyperlink" Target="45_&#12486;&#12473;&#12488;&#12456;&#12499;&#12487;&#12531;&#12473;_&#32207;&#21512;.xlsx" TargetMode="External" Id="rId42"/><Relationship Type="http://schemas.openxmlformats.org/officeDocument/2006/relationships/hyperlink" Target="45_&#12486;&#12473;&#12488;&#12456;&#12499;&#12487;&#12531;&#12473;_&#32207;&#21512;.xlsx" TargetMode="External" Id="rId43"/><Relationship Type="http://schemas.openxmlformats.org/officeDocument/2006/relationships/hyperlink" Target="45_&#12486;&#12473;&#12488;&#12456;&#12499;&#12487;&#12531;&#12473;_&#32207;&#21512;.xlsx" TargetMode="External" Id="rId44"/><Relationship Type="http://schemas.openxmlformats.org/officeDocument/2006/relationships/hyperlink" Target="45_&#12486;&#12473;&#12488;&#12456;&#12499;&#12487;&#12531;&#12473;_&#32207;&#21512;.xlsx" TargetMode="External" Id="rId45"/><Relationship Type="http://schemas.openxmlformats.org/officeDocument/2006/relationships/hyperlink" Target="45_&#12486;&#12473;&#12488;&#12456;&#12499;&#12487;&#12531;&#12473;_&#32207;&#21512;.xlsx" TargetMode="External" Id="rId46"/><Relationship Type="http://schemas.openxmlformats.org/officeDocument/2006/relationships/hyperlink" Target="45_&#12486;&#12473;&#12488;&#12456;&#12499;&#12487;&#12531;&#12473;_&#32207;&#21512;.xlsx" TargetMode="External" Id="rId47"/><Relationship Type="http://schemas.openxmlformats.org/officeDocument/2006/relationships/hyperlink" Target="45_&#12486;&#12473;&#12488;&#12456;&#12499;&#12487;&#12531;&#12473;_&#32207;&#21512;.xlsx" TargetMode="External" Id="rId48"/><Relationship Type="http://schemas.openxmlformats.org/officeDocument/2006/relationships/hyperlink" Target="45_&#12486;&#12473;&#12488;&#12456;&#12499;&#12487;&#12531;&#12473;_&#32207;&#21512;.xlsx" TargetMode="External" Id="rId49"/><Relationship Type="http://schemas.openxmlformats.org/officeDocument/2006/relationships/hyperlink" Target="45_&#12486;&#12473;&#12488;&#12456;&#12499;&#12487;&#12531;&#12473;_&#32207;&#21512;.xlsx" TargetMode="External" Id="rId50"/><Relationship Type="http://schemas.openxmlformats.org/officeDocument/2006/relationships/hyperlink" Target="45_&#12486;&#12473;&#12488;&#12456;&#12499;&#12487;&#12531;&#12473;_&#32207;&#21512;.xlsx" TargetMode="External" Id="rId51"/><Relationship Type="http://schemas.openxmlformats.org/officeDocument/2006/relationships/hyperlink" Target="45_&#12486;&#12473;&#12488;&#12456;&#12499;&#12487;&#12531;&#12473;_&#32207;&#21512;.xlsx" TargetMode="External" Id="rId52"/><Relationship Type="http://schemas.openxmlformats.org/officeDocument/2006/relationships/hyperlink" Target="45_&#12486;&#12473;&#12488;&#12456;&#12499;&#12487;&#12531;&#12473;_&#32207;&#21512;.xlsx" TargetMode="External" Id="rId53"/><Relationship Type="http://schemas.openxmlformats.org/officeDocument/2006/relationships/hyperlink" Target="45_&#12486;&#12473;&#12488;&#12456;&#12499;&#12487;&#12531;&#12473;_&#32207;&#21512;.xlsx" TargetMode="External" Id="rId54"/><Relationship Type="http://schemas.openxmlformats.org/officeDocument/2006/relationships/hyperlink" Target="45_&#12486;&#12473;&#12488;&#12456;&#12499;&#12487;&#12531;&#12473;_&#32207;&#21512;.xlsx" TargetMode="External" Id="rId55"/><Relationship Type="http://schemas.openxmlformats.org/officeDocument/2006/relationships/hyperlink" Target="45_&#12486;&#12473;&#12488;&#12456;&#12499;&#12487;&#12531;&#12473;_&#32207;&#21512;.xlsx" TargetMode="External" Id="rId56"/><Relationship Type="http://schemas.openxmlformats.org/officeDocument/2006/relationships/hyperlink" Target="45_&#12486;&#12473;&#12488;&#12456;&#12499;&#12487;&#12531;&#12473;_&#32207;&#21512;.xlsx" TargetMode="External" Id="rId57"/><Relationship Type="http://schemas.openxmlformats.org/officeDocument/2006/relationships/hyperlink" Target="45_&#12486;&#12473;&#12488;&#12456;&#12499;&#12487;&#12531;&#12473;_&#32207;&#21512;.xlsx" TargetMode="External" Id="rId58"/><Relationship Type="http://schemas.openxmlformats.org/officeDocument/2006/relationships/hyperlink" Target="45_&#12486;&#12473;&#12488;&#12456;&#12499;&#12487;&#12531;&#12473;_&#32207;&#21512;.xlsx" TargetMode="External" Id="rId59"/><Relationship Type="http://schemas.openxmlformats.org/officeDocument/2006/relationships/hyperlink" Target="45_&#12486;&#12473;&#12488;&#12456;&#12499;&#12487;&#12531;&#12473;_&#32207;&#21512;.xlsx" TargetMode="External" Id="rId60"/><Relationship Type="http://schemas.openxmlformats.org/officeDocument/2006/relationships/hyperlink" Target="45_&#12486;&#12473;&#12488;&#12456;&#12499;&#12487;&#12531;&#12473;_&#32207;&#21512;.xlsx" TargetMode="External" Id="rId61"/><Relationship Type="http://schemas.openxmlformats.org/officeDocument/2006/relationships/hyperlink" Target="45_&#12486;&#12473;&#12488;&#12456;&#12499;&#12487;&#12531;&#12473;_&#32207;&#21512;.xlsx" TargetMode="External" Id="rId62"/><Relationship Type="http://schemas.openxmlformats.org/officeDocument/2006/relationships/hyperlink" Target="45_&#12486;&#12473;&#12488;&#12456;&#12499;&#12487;&#12531;&#12473;_&#32207;&#21512;.xlsx" TargetMode="External" Id="rId63"/><Relationship Type="http://schemas.openxmlformats.org/officeDocument/2006/relationships/hyperlink" Target="45_&#12486;&#12473;&#12488;&#12456;&#12499;&#12487;&#12531;&#12473;_&#32207;&#21512;.xlsx" TargetMode="External" Id="rId64"/><Relationship Type="http://schemas.openxmlformats.org/officeDocument/2006/relationships/hyperlink" Target="45_&#12486;&#12473;&#12488;&#12456;&#12499;&#12487;&#12531;&#12473;_&#32207;&#21512;.xlsx" TargetMode="External" Id="rId65"/><Relationship Type="http://schemas.openxmlformats.org/officeDocument/2006/relationships/hyperlink" Target="45_&#12486;&#12473;&#12488;&#12456;&#12499;&#12487;&#12531;&#12473;_&#32207;&#21512;.xlsx" TargetMode="External" Id="rId66"/><Relationship Type="http://schemas.openxmlformats.org/officeDocument/2006/relationships/hyperlink" Target="45_&#12486;&#12473;&#12488;&#12456;&#12499;&#12487;&#12531;&#12473;_&#32207;&#21512;.xlsx" TargetMode="External" Id="rId67"/><Relationship Type="http://schemas.openxmlformats.org/officeDocument/2006/relationships/hyperlink" Target="45_&#12486;&#12473;&#12488;&#12456;&#12499;&#12487;&#12531;&#12473;_&#32207;&#21512;.xlsx" TargetMode="External" Id="rId68"/><Relationship Type="http://schemas.openxmlformats.org/officeDocument/2006/relationships/hyperlink" Target="45_&#12486;&#12473;&#12488;&#12456;&#12499;&#12487;&#12531;&#12473;_&#32207;&#21512;.xlsx" TargetMode="External" Id="rId69"/><Relationship Type="http://schemas.openxmlformats.org/officeDocument/2006/relationships/hyperlink" Target="45_&#12486;&#12473;&#12488;&#12456;&#12499;&#12487;&#12531;&#12473;_&#32207;&#21512;.xlsx" TargetMode="External" Id="rId70"/><Relationship Type="http://schemas.openxmlformats.org/officeDocument/2006/relationships/hyperlink" Target="45_&#12486;&#12473;&#12488;&#12456;&#12499;&#12487;&#12531;&#12473;_&#32207;&#21512;.xlsx" TargetMode="External" Id="rId71"/><Relationship Type="http://schemas.openxmlformats.org/officeDocument/2006/relationships/hyperlink" Target="45_&#12486;&#12473;&#12488;&#12456;&#12499;&#12487;&#12531;&#12473;_&#32207;&#21512;.xlsx" TargetMode="External" Id="rId72"/><Relationship Type="http://schemas.openxmlformats.org/officeDocument/2006/relationships/hyperlink" Target="45_&#12486;&#12473;&#12488;&#12456;&#12499;&#12487;&#12531;&#12473;_&#32207;&#21512;.xlsx" TargetMode="External" Id="rId73"/><Relationship Type="http://schemas.openxmlformats.org/officeDocument/2006/relationships/hyperlink" Target="45_&#12486;&#12473;&#12488;&#12456;&#12499;&#12487;&#12531;&#12473;_&#32207;&#21512;.xlsx" TargetMode="External" Id="rId74"/><Relationship Type="http://schemas.openxmlformats.org/officeDocument/2006/relationships/hyperlink" Target="45_&#12486;&#12473;&#12488;&#12456;&#12499;&#12487;&#12531;&#12473;_&#32207;&#21512;.xlsx" TargetMode="External" Id="rId75"/><Relationship Type="http://schemas.openxmlformats.org/officeDocument/2006/relationships/hyperlink" Target="45_&#12486;&#12473;&#12488;&#12456;&#12499;&#12487;&#12531;&#12473;_&#32207;&#21512;.xlsx" TargetMode="External" Id="rId76"/><Relationship Type="http://schemas.openxmlformats.org/officeDocument/2006/relationships/hyperlink" Target="45_&#12486;&#12473;&#12488;&#12456;&#12499;&#12487;&#12531;&#12473;_&#32207;&#21512;.xlsx" TargetMode="External" Id="rId77"/><Relationship Type="http://schemas.openxmlformats.org/officeDocument/2006/relationships/hyperlink" Target="45_&#12486;&#12473;&#12488;&#12456;&#12499;&#12487;&#12531;&#12473;_&#32207;&#21512;.xlsx" TargetMode="External" Id="rId78"/><Relationship Type="http://schemas.openxmlformats.org/officeDocument/2006/relationships/hyperlink" Target="45_&#12486;&#12473;&#12488;&#12456;&#12499;&#12487;&#12531;&#12473;_&#32207;&#21512;.xlsx" TargetMode="External" Id="rId79"/><Relationship Type="http://schemas.openxmlformats.org/officeDocument/2006/relationships/hyperlink" Target="45_&#12486;&#12473;&#12488;&#12456;&#12499;&#12487;&#12531;&#12473;_&#32207;&#21512;.xlsx" TargetMode="External" Id="rId80"/><Relationship Type="http://schemas.openxmlformats.org/officeDocument/2006/relationships/hyperlink" Target="45_&#12486;&#12473;&#12488;&#12456;&#12499;&#12487;&#12531;&#12473;_&#32207;&#21512;.xlsx" TargetMode="External" Id="rId81"/><Relationship Type="http://schemas.openxmlformats.org/officeDocument/2006/relationships/hyperlink" Target="45_&#12486;&#12473;&#12488;&#12456;&#12499;&#12487;&#12531;&#12473;_&#32207;&#21512;.xlsx" TargetMode="External" Id="rId82"/><Relationship Type="http://schemas.openxmlformats.org/officeDocument/2006/relationships/hyperlink" Target="45_&#12486;&#12473;&#12488;&#12456;&#12499;&#12487;&#12531;&#12473;_&#32207;&#21512;.xlsx" TargetMode="External" Id="rId83"/><Relationship Type="http://schemas.openxmlformats.org/officeDocument/2006/relationships/hyperlink" Target="45_&#12486;&#12473;&#12488;&#12456;&#12499;&#12487;&#12531;&#12473;_&#32207;&#21512;.xlsx" TargetMode="External" Id="rId84"/><Relationship Type="http://schemas.openxmlformats.org/officeDocument/2006/relationships/hyperlink" Target="45_&#12486;&#12473;&#12488;&#12456;&#12499;&#12487;&#12531;&#12473;_&#32207;&#21512;.xlsx" TargetMode="External" Id="rId85"/><Relationship Type="http://schemas.openxmlformats.org/officeDocument/2006/relationships/hyperlink" Target="45_&#12486;&#12473;&#12488;&#12456;&#12499;&#12487;&#12531;&#12473;_&#32207;&#21512;.xlsx" TargetMode="External" Id="rId86"/><Relationship Type="http://schemas.openxmlformats.org/officeDocument/2006/relationships/hyperlink" Target="45_&#12486;&#12473;&#12488;&#12456;&#12499;&#12487;&#12531;&#12473;_&#32207;&#21512;.xlsx" TargetMode="External" Id="rId87"/><Relationship Type="http://schemas.openxmlformats.org/officeDocument/2006/relationships/hyperlink" Target="45_&#12486;&#12473;&#12488;&#12456;&#12499;&#12487;&#12531;&#12473;_&#32207;&#21512;.xlsx" TargetMode="External" Id="rId88"/><Relationship Type="http://schemas.openxmlformats.org/officeDocument/2006/relationships/hyperlink" Target="45_&#12486;&#12473;&#12488;&#12456;&#12499;&#12487;&#12531;&#12473;_&#32207;&#21512;.xlsx" TargetMode="External" Id="rId89"/><Relationship Type="http://schemas.openxmlformats.org/officeDocument/2006/relationships/hyperlink" Target="45_&#12486;&#12473;&#12488;&#12456;&#12499;&#12487;&#12531;&#12473;_&#32207;&#21512;.xlsx" TargetMode="External" Id="rId90"/><Relationship Type="http://schemas.openxmlformats.org/officeDocument/2006/relationships/hyperlink" Target="45_&#12486;&#12473;&#12488;&#12456;&#12499;&#12487;&#12531;&#12473;_&#32207;&#21512;.xlsx" TargetMode="External" Id="rId91"/><Relationship Type="http://schemas.openxmlformats.org/officeDocument/2006/relationships/hyperlink" Target="45_&#12486;&#12473;&#12488;&#12456;&#12499;&#12487;&#12531;&#12473;_&#32207;&#21512;.xlsx" TargetMode="External" Id="rId92"/><Relationship Type="http://schemas.openxmlformats.org/officeDocument/2006/relationships/hyperlink" Target="45_&#12486;&#12473;&#12488;&#12456;&#12499;&#12487;&#12531;&#12473;_&#32207;&#21512;.xlsx" TargetMode="External" Id="rId93"/></Relationships>
</file>

<file path=xl/worksheets/_rels/sheet6.xml.rels><Relationships xmlns="http://schemas.openxmlformats.org/package/2006/relationships"><Relationship Type="http://schemas.openxmlformats.org/officeDocument/2006/relationships/hyperlink" Target="https://github.com/sasaki111111/event-application-system/issues/17" TargetMode="External" Id="rId1"/><Relationship Type="http://schemas.openxmlformats.org/officeDocument/2006/relationships/hyperlink" Target="https://github.com/sasaki111111/event-application-system/issues/18" TargetMode="External" Id="rId2"/></Relationships>
</file>

<file path=xl/worksheets/sheet1.xml><?xml version="1.0" encoding="utf-8"?>
<worksheet xmlns="http://schemas.openxmlformats.org/spreadsheetml/2006/main">
  <sheetPr>
    <outlinePr summaryBelow="1" summaryRight="1"/>
    <pageSetUpPr/>
  </sheetPr>
  <dimension ref="A1:I26"/>
  <sheetViews>
    <sheetView topLeftCell="A3" workbookViewId="0">
      <selection activeCell="G7" sqref="G7"/>
    </sheetView>
  </sheetViews>
  <sheetFormatPr baseColWidth="8" defaultRowHeight="13"/>
  <cols>
    <col width="16" customWidth="1" min="1" max="1"/>
    <col width="34" customWidth="1" min="2" max="2"/>
    <col width="10" customWidth="1" min="3" max="9"/>
  </cols>
  <sheetData>
    <row r="1" ht="19.5" customHeight="1">
      <c r="A1" s="1" t="inlineStr">
        <is>
          <t>イベント申込システム テスト結果表</t>
        </is>
      </c>
    </row>
    <row r="2" ht="14" customHeight="1">
      <c r="A2" s="2" t="inlineStr">
        <is>
          <t>テストケースは docs/40_テスト/ のテスト仕様書（41・42・43）と同じ内容である。ルールは 40_テスト計画書 に従う。</t>
        </is>
      </c>
    </row>
    <row r="4" ht="14" customHeight="1">
      <c r="A4" s="3" t="inlineStr">
        <is>
          <t>テスト開始日</t>
        </is>
      </c>
      <c r="B4" s="20" t="n">
        <v>46302</v>
      </c>
    </row>
    <row r="5" ht="14" customHeight="1">
      <c r="A5" s="3" t="inlineStr">
        <is>
          <t>実施者</t>
        </is>
      </c>
      <c r="B5" s="2" t="inlineStr">
        <is>
          <t>佐々木</t>
        </is>
      </c>
    </row>
    <row r="6" ht="14" customHeight="1">
      <c r="A6" s="3" t="inlineStr">
        <is>
          <t>対象</t>
        </is>
      </c>
      <c r="B6" s="2" t="inlineStr">
        <is>
          <t>この結果表と同じコミットのソースコード</t>
        </is>
      </c>
    </row>
    <row r="7" ht="14" customHeight="1">
      <c r="A7" s="3" t="inlineStr">
        <is>
          <t>ブラウザ</t>
        </is>
      </c>
      <c r="B7" s="2" t="inlineStr">
        <is>
          <t>Google Chrome</t>
        </is>
      </c>
    </row>
    <row r="8" ht="14" customHeight="1">
      <c r="A8" s="3" t="inlineStr">
        <is>
          <t>データベース</t>
        </is>
      </c>
      <c r="B8" s="2" t="inlineStr">
        <is>
          <t>MySQL 8.0（手動テスト）、H2（自動テスト）</t>
        </is>
      </c>
    </row>
    <row r="10" ht="14" customHeight="1">
      <c r="A10" s="5" t="inlineStr">
        <is>
          <t>レベル</t>
        </is>
      </c>
      <c r="B10" s="5" t="inlineStr">
        <is>
          <t>内容</t>
        </is>
      </c>
      <c r="C10" s="5" t="inlineStr">
        <is>
          <t>総数</t>
        </is>
      </c>
      <c r="D10" s="5" t="inlineStr">
        <is>
          <t>OK</t>
        </is>
      </c>
      <c r="E10" s="5" t="inlineStr">
        <is>
          <t>NG</t>
        </is>
      </c>
      <c r="F10" s="5" t="inlineStr">
        <is>
          <t>保留</t>
        </is>
      </c>
      <c r="G10" s="5" t="inlineStr">
        <is>
          <t>対象外</t>
        </is>
      </c>
      <c r="H10" s="5" t="inlineStr">
        <is>
          <t>未実施</t>
        </is>
      </c>
      <c r="I10" s="5" t="inlineStr">
        <is>
          <t>消化率</t>
        </is>
      </c>
    </row>
    <row r="11" ht="14" customHeight="1">
      <c r="A11" s="6" t="inlineStr">
        <is>
          <t>UT</t>
        </is>
      </c>
      <c r="B11" s="6" t="inlineStr">
        <is>
          <t>単体テスト</t>
        </is>
      </c>
      <c r="C11" s="6" t="n">
        <v>179</v>
      </c>
      <c r="D11" s="6">
        <f>COUNTIF(UT!M2:M180,"OK")</f>
        <v/>
      </c>
      <c r="E11" s="6">
        <f>COUNTIF(UT!M2:M180,"NG")</f>
        <v/>
      </c>
      <c r="F11" s="6">
        <f>COUNTIF(UT!M2:M180,"保留")</f>
        <v/>
      </c>
      <c r="G11" s="6">
        <f>COUNTIF(UT!M2:M180,"対象外")</f>
        <v/>
      </c>
      <c r="H11" s="6">
        <f>C11-SUM(D11:G11)</f>
        <v/>
      </c>
      <c r="I11" s="21">
        <f>IF(C11=0,0,(D11+E11+G11)/C11)</f>
        <v/>
      </c>
    </row>
    <row r="12" ht="14" customHeight="1">
      <c r="A12" s="6" t="inlineStr">
        <is>
          <t>IT</t>
        </is>
      </c>
      <c r="B12" s="6" t="inlineStr">
        <is>
          <t>結合テスト（API結合）</t>
        </is>
      </c>
      <c r="C12" s="6" t="n">
        <v>211</v>
      </c>
      <c r="D12" s="6">
        <f>COUNTIF(IT_API結合!M2:M212,"OK")</f>
        <v/>
      </c>
      <c r="E12" s="6">
        <f>COUNTIF(IT_API結合!M2:M212,"NG")</f>
        <v/>
      </c>
      <c r="F12" s="6">
        <f>COUNTIF(IT_API結合!M2:M212,"保留")</f>
        <v/>
      </c>
      <c r="G12" s="6">
        <f>COUNTIF(IT_API結合!M2:M212,"対象外")</f>
        <v/>
      </c>
      <c r="H12" s="6">
        <f>C12-SUM(D12:G12)</f>
        <v/>
      </c>
      <c r="I12" s="21">
        <f>IF(C12=0,0,(D12+E12+G12)/C12)</f>
        <v/>
      </c>
    </row>
    <row r="13" ht="14" customHeight="1">
      <c r="A13" s="6" t="inlineStr">
        <is>
          <t>IT</t>
        </is>
      </c>
      <c r="B13" s="6" t="inlineStr">
        <is>
          <t>結合テスト（画面結合）</t>
        </is>
      </c>
      <c r="C13" s="6" t="n">
        <v>132</v>
      </c>
      <c r="D13" s="6">
        <f>COUNTIF(IT_画面結合!M2:M133,"OK")</f>
        <v/>
      </c>
      <c r="E13" s="6">
        <f>COUNTIF(IT_画面結合!M2:M133,"NG")</f>
        <v/>
      </c>
      <c r="F13" s="6">
        <f>COUNTIF(IT_画面結合!M2:M133,"保留")</f>
        <v/>
      </c>
      <c r="G13" s="6">
        <f>COUNTIF(IT_画面結合!M2:M133,"対象外")</f>
        <v/>
      </c>
      <c r="H13" s="6">
        <f>C13-SUM(D13:G13)</f>
        <v/>
      </c>
      <c r="I13" s="21">
        <f>IF(C13=0,0,(D13+E13+G13)/C13)</f>
        <v/>
      </c>
    </row>
    <row r="14" ht="14" customHeight="1">
      <c r="A14" s="6" t="inlineStr">
        <is>
          <t>ST</t>
        </is>
      </c>
      <c r="B14" s="6" t="inlineStr">
        <is>
          <t>総合テスト（業務シナリオ・非機能）</t>
        </is>
      </c>
      <c r="C14" s="6" t="n">
        <v>94</v>
      </c>
      <c r="D14" s="6">
        <f>COUNTIF(ST!M2:M95,"OK")</f>
        <v/>
      </c>
      <c r="E14" s="6">
        <f>COUNTIF(ST!M2:M95,"NG")</f>
        <v/>
      </c>
      <c r="F14" s="6">
        <f>COUNTIF(ST!M2:M95,"保留")</f>
        <v/>
      </c>
      <c r="G14" s="6">
        <f>COUNTIF(ST!M2:M95,"対象外")</f>
        <v/>
      </c>
      <c r="H14" s="6">
        <f>C14-SUM(D14:G14)</f>
        <v/>
      </c>
      <c r="I14" s="21">
        <f>IF(C14=0,0,(D14+E14+G14)/C14)</f>
        <v/>
      </c>
    </row>
    <row r="15" ht="14" customHeight="1">
      <c r="A15" s="8" t="inlineStr">
        <is>
          <t>合計</t>
        </is>
      </c>
      <c r="B15" s="6" t="n"/>
      <c r="C15" s="8">
        <f>SUM(C11:C14)</f>
        <v/>
      </c>
      <c r="D15" s="8">
        <f>SUM(D11:D14)</f>
        <v/>
      </c>
      <c r="E15" s="8">
        <f>SUM(E11:E14)</f>
        <v/>
      </c>
      <c r="F15" s="8">
        <f>SUM(F11:F14)</f>
        <v/>
      </c>
      <c r="G15" s="8">
        <f>SUM(G11:G14)</f>
        <v/>
      </c>
      <c r="H15" s="8">
        <f>SUM(H11:H14)</f>
        <v/>
      </c>
      <c r="I15" s="22">
        <f>IF(C15=0,0,(D15+E15+G15)/C15)</f>
        <v/>
      </c>
    </row>
    <row r="17" ht="14" customHeight="1">
      <c r="A17" s="3" t="inlineStr">
        <is>
          <t>【記入ルール】（40_テスト計画書 7章・8章）</t>
        </is>
      </c>
    </row>
    <row r="18" ht="14" customHeight="1">
      <c r="A18" s="2" t="inlineStr">
        <is>
          <t>・黄色の見出しの列（結果〜再テスト日）を記入する。それ以外の列はテスト仕様書の内容であり、変更しない。</t>
        </is>
      </c>
    </row>
    <row r="19" ht="14" customHeight="1">
      <c r="A19" s="2" t="inlineStr">
        <is>
          <t>・結果：期待結果（データベースの状態を含む）をすべて満たせば OK、1つでも満たさなければ NG。前提を作れない・判断できない場合は 保留。</t>
        </is>
      </c>
    </row>
    <row r="20" ht="14" customHeight="1">
      <c r="A20" s="2" t="inlineStr">
        <is>
          <t>・実際の結果・備考：NG・保留・対象外のときは必ず記入する。OKのときも、確認した値（ステータス、件数等）を書くとよい。</t>
        </is>
      </c>
    </row>
    <row r="21" ht="14" customHeight="1">
      <c r="A21" s="2" t="inlineStr">
        <is>
          <t>・証跡：ファイル名をテストIDで始め、docs/40_テスト/evidence/ の UT・IT・ST のフォルダに保存し、そのファイル名を記入する。</t>
        </is>
      </c>
    </row>
    <row r="22" ht="14" customHeight="1">
      <c r="A22" s="2" t="inlineStr">
        <is>
          <t xml:space="preserve">　　画面の証跡は、アドレスバー（URL）と日時が分かるものを含めて撮る。データベースの証跡は、SELECT文と結果を残す。</t>
        </is>
      </c>
    </row>
    <row r="23" ht="14" customHeight="1">
      <c r="A23" s="2" t="inlineStr">
        <is>
          <t>・不具合Issue：NGのときにGitHubのIssueを起票し、番号（例 #12）を記入する。「不具合一覧」シートにも1行追加する。</t>
        </is>
      </c>
    </row>
    <row r="24" ht="14" customHeight="1">
      <c r="A24" s="2" t="inlineStr">
        <is>
          <t>・再テスト：修正の取り込み後に同じテストケースを再実施し、再テスト結果・再テスト日を記入する（最初の結果は消さない）。</t>
        </is>
      </c>
    </row>
    <row r="25" ht="14" customHeight="1">
      <c r="A25" s="2" t="inlineStr">
        <is>
          <t>・自動テストの行は、テストの実行レポートをもとに記入済みである。自動テストを再実行した場合は、実施日と証跡を更新する。</t>
        </is>
      </c>
    </row>
    <row r="26" ht="14" customHeight="1">
      <c r="A26" s="2" t="inlineStr">
        <is>
          <t>・消化率＝（OK＋NG＋対象外）÷総数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0"/>
  <sheetViews>
    <sheetView workbookViewId="0">
      <pane xSplit="3" ySplit="1" topLeftCell="J173" activePane="bottomRight" state="frozen"/>
      <selection pane="topRight" activeCell="A1" sqref="A1"/>
      <selection pane="bottomLeft" activeCell="A1" sqref="A1"/>
      <selection pane="bottomRight" activeCell="L115" sqref="L115"/>
    </sheetView>
  </sheetViews>
  <sheetFormatPr baseColWidth="8" defaultRowHeight="13"/>
  <cols>
    <col width="14" customWidth="1" min="1" max="1"/>
    <col width="22" customWidth="1" min="2" max="2"/>
    <col width="8" customWidth="1" min="3" max="3"/>
    <col width="34" customWidth="1" min="4" max="4"/>
    <col width="26" customWidth="1" min="5" max="5"/>
    <col width="36" customWidth="1" min="6" max="6"/>
    <col width="40" customWidth="1" min="7" max="7"/>
    <col width="36" customWidth="1" min="8" max="8"/>
    <col width="52" customWidth="1" min="9" max="9"/>
    <col width="20" customWidth="1" min="10" max="10"/>
    <col width="9" customWidth="1" min="11" max="11"/>
    <col width="30" customWidth="1" min="12" max="12"/>
    <col width="7" customWidth="1" min="13" max="13"/>
    <col width="11" customWidth="1" min="14" max="14"/>
    <col width="14" customWidth="1" min="15" max="15"/>
    <col width="30" customWidth="1" min="16" max="16"/>
    <col width="13" customWidth="1" min="17" max="17"/>
    <col width="10" customWidth="1" min="18" max="18"/>
    <col width="13" customWidth="1" min="19" max="19"/>
    <col width="11" customWidth="1" min="20" max="20"/>
  </cols>
  <sheetData>
    <row r="1" ht="27" customHeight="1">
      <c r="A1" s="10" t="inlineStr">
        <is>
          <t>ID</t>
        </is>
      </c>
      <c r="B1" s="10" t="inlineStr">
        <is>
          <t>対象</t>
        </is>
      </c>
      <c r="C1" s="10" t="inlineStr">
        <is>
          <t>区分</t>
        </is>
      </c>
      <c r="D1" s="10" t="inlineStr">
        <is>
          <t>確認する内容</t>
        </is>
      </c>
      <c r="E1" s="10" t="inlineStr">
        <is>
          <t>前提</t>
        </is>
      </c>
      <c r="F1" s="10" t="inlineStr">
        <is>
          <t>操作・入力</t>
        </is>
      </c>
      <c r="G1" s="10" t="inlineStr">
        <is>
          <t>期待結果</t>
        </is>
      </c>
      <c r="H1" s="10" t="inlineStr">
        <is>
          <t>期待結果（データベース）</t>
        </is>
      </c>
      <c r="I1" s="10" t="inlineStr">
        <is>
          <t>確認SQL</t>
        </is>
      </c>
      <c r="J1" s="10" t="inlineStr">
        <is>
          <t>根拠</t>
        </is>
      </c>
      <c r="K1" s="10" t="inlineStr">
        <is>
          <t>実施方法</t>
        </is>
      </c>
      <c r="L1" s="10" t="inlineStr">
        <is>
          <t>自動テスト</t>
        </is>
      </c>
      <c r="M1" s="11" t="inlineStr">
        <is>
          <t>結果</t>
        </is>
      </c>
      <c r="N1" s="11" t="inlineStr">
        <is>
          <t>実施日</t>
        </is>
      </c>
      <c r="O1" s="11" t="inlineStr">
        <is>
          <t>実施者</t>
        </is>
      </c>
      <c r="P1" s="11" t="inlineStr">
        <is>
          <t>実際の結果・備考</t>
        </is>
      </c>
      <c r="Q1" s="11" t="inlineStr">
        <is>
          <t>証跡</t>
        </is>
      </c>
      <c r="R1" s="11" t="inlineStr">
        <is>
          <t>不具合Issue</t>
        </is>
      </c>
      <c r="S1" s="11" t="inlineStr">
        <is>
          <t>再テスト結果</t>
        </is>
      </c>
      <c r="T1" s="11" t="inlineStr">
        <is>
          <t>再テスト日</t>
        </is>
      </c>
    </row>
    <row r="2" ht="27" customHeight="1">
      <c r="A2" s="12" t="inlineStr">
        <is>
          <t>UT-APP-N01</t>
        </is>
      </c>
      <c r="B2" s="12" t="inlineStr">
        <is>
          <t>ApplicationService（申込・キャンセル・当日受付）</t>
        </is>
      </c>
      <c r="C2" s="12" t="inlineStr">
        <is>
          <t>正常系</t>
        </is>
      </c>
      <c r="D2" s="12" t="inlineStr">
        <is>
          <t>定員に余裕があれば受付済で申込できる</t>
        </is>
      </c>
      <c r="E2" s="12" t="inlineStr">
        <is>
          <t>区分なし、受付済数＜定員</t>
        </is>
      </c>
      <c r="F2" s="12" t="inlineStr">
        <is>
          <t>apply</t>
        </is>
      </c>
      <c r="G2" s="12" t="inlineStr">
        <is>
          <t>申込状況＝受付済で登録される</t>
        </is>
      </c>
      <c r="H2" s="12" t="inlineStr">
        <is>
          <t>-</t>
        </is>
      </c>
      <c r="I2" s="12" t="inlineStr">
        <is>
          <t>-</t>
        </is>
      </c>
      <c r="J2" s="12" t="inlineStr">
        <is>
          <t>R-02</t>
        </is>
      </c>
      <c r="K2" s="12" t="inlineStr">
        <is>
          <t>自動</t>
        </is>
      </c>
      <c r="L2" s="12" t="inlineStr">
        <is>
          <t>apply_正常系_定員に余裕があれば受付済で申込できる</t>
        </is>
      </c>
      <c r="M2" s="12" t="inlineStr">
        <is>
          <t>OK</t>
        </is>
      </c>
      <c r="N2" s="23" t="n">
        <v>46302</v>
      </c>
      <c r="O2" s="12" t="inlineStr">
        <is>
          <t>佐々木（Claude Code）</t>
        </is>
      </c>
      <c r="P2" s="12" t="inlineStr">
        <is>
          <t>自動テスト成功</t>
        </is>
      </c>
      <c r="Q2" s="12" t="inlineStr">
        <is>
          <t>evidence/UT/UT_バックエンド_結果一覧_20261007.txt</t>
        </is>
      </c>
      <c r="R2" s="12" t="n"/>
      <c r="S2" s="12" t="n"/>
      <c r="T2" s="12" t="n"/>
    </row>
    <row r="3" ht="27" customHeight="1">
      <c r="A3" s="12" t="inlineStr">
        <is>
          <t>UT-APP-N02</t>
        </is>
      </c>
      <c r="B3" s="12" t="inlineStr">
        <is>
          <t>ApplicationService（申込・キャンセル・当日受付）</t>
        </is>
      </c>
      <c r="C3" s="12" t="inlineStr">
        <is>
          <t>正常系</t>
        </is>
      </c>
      <c r="D3" s="12" t="inlineStr">
        <is>
          <t>定員に達していればキャンセル待ちで登録される</t>
        </is>
      </c>
      <c r="E3" s="12" t="inlineStr">
        <is>
          <t>区分なし、受付済数＝定員</t>
        </is>
      </c>
      <c r="F3" s="12" t="inlineStr">
        <is>
          <t>apply</t>
        </is>
      </c>
      <c r="G3" s="12" t="inlineStr">
        <is>
          <t>申込状況＝キャンセル待ちで登録される（エラーにならない）</t>
        </is>
      </c>
      <c r="H3" s="12" t="inlineStr">
        <is>
          <t>-</t>
        </is>
      </c>
      <c r="I3" s="12" t="inlineStr">
        <is>
          <t>-</t>
        </is>
      </c>
      <c r="J3" s="12" t="inlineStr">
        <is>
          <t>R-02</t>
        </is>
      </c>
      <c r="K3" s="12" t="inlineStr">
        <is>
          <t>自動</t>
        </is>
      </c>
      <c r="L3" s="12" t="inlineStr">
        <is>
          <t>apply_機能追加_定員に達していればキャンセル待ちで登録される</t>
        </is>
      </c>
      <c r="M3" s="12" t="inlineStr">
        <is>
          <t>OK</t>
        </is>
      </c>
      <c r="N3" s="23" t="n">
        <v>46302</v>
      </c>
      <c r="O3" s="12" t="inlineStr">
        <is>
          <t>佐々木（Claude Code）</t>
        </is>
      </c>
      <c r="P3" s="12" t="inlineStr">
        <is>
          <t>自動テスト成功</t>
        </is>
      </c>
      <c r="Q3" s="12" t="inlineStr">
        <is>
          <t>evidence/UT/UT_バックエンド_結果一覧_20261007.txt</t>
        </is>
      </c>
      <c r="R3" s="12" t="n"/>
      <c r="S3" s="12" t="n"/>
      <c r="T3" s="12" t="n"/>
    </row>
    <row r="4" ht="27" customHeight="1">
      <c r="A4" s="12" t="inlineStr">
        <is>
          <t>UT-APP-N03</t>
        </is>
      </c>
      <c r="B4" s="12" t="inlineStr">
        <is>
          <t>ApplicationService（申込・キャンセル・当日受付）</t>
        </is>
      </c>
      <c r="C4" s="12" t="inlineStr">
        <is>
          <t>正常系</t>
        </is>
      </c>
      <c r="D4" s="12" t="inlineStr">
        <is>
          <t>キャンセル済の申込のみなら再申込できる</t>
        </is>
      </c>
      <c r="E4" s="12" t="inlineStr">
        <is>
          <t>同一イベントにキャンセル済の申込のみある</t>
        </is>
      </c>
      <c r="F4" s="12" t="inlineStr">
        <is>
          <t>apply</t>
        </is>
      </c>
      <c r="G4" s="12" t="inlineStr">
        <is>
          <t>再申込でき、新しい申込が登録される</t>
        </is>
      </c>
      <c r="H4" s="12" t="inlineStr">
        <is>
          <t>-</t>
        </is>
      </c>
      <c r="I4" s="12" t="inlineStr">
        <is>
          <t>-</t>
        </is>
      </c>
      <c r="J4" s="12" t="inlineStr">
        <is>
          <t>10_要件定義書 7章「二重申込の防止」</t>
        </is>
      </c>
      <c r="K4" s="12" t="inlineStr">
        <is>
          <t>自動</t>
        </is>
      </c>
      <c r="L4" s="12" t="inlineStr">
        <is>
          <t>apply_正常系_キャンセル済の申込のみなら再申込できる</t>
        </is>
      </c>
      <c r="M4" s="12" t="inlineStr">
        <is>
          <t>OK</t>
        </is>
      </c>
      <c r="N4" s="23" t="n">
        <v>46302</v>
      </c>
      <c r="O4" s="12" t="inlineStr">
        <is>
          <t>佐々木（Claude Code）</t>
        </is>
      </c>
      <c r="P4" s="12" t="inlineStr">
        <is>
          <t>自動テスト成功</t>
        </is>
      </c>
      <c r="Q4" s="12" t="inlineStr">
        <is>
          <t>evidence/UT/UT_バックエンド_結果一覧_20261007.txt</t>
        </is>
      </c>
      <c r="R4" s="12" t="n"/>
      <c r="S4" s="12" t="n"/>
      <c r="T4" s="12" t="n"/>
    </row>
    <row r="5" ht="27" customHeight="1">
      <c r="A5" s="12" t="inlineStr">
        <is>
          <t>UT-APP-N04</t>
        </is>
      </c>
      <c r="B5" s="12" t="inlineStr">
        <is>
          <t>ApplicationService（申込・キャンセル・当日受付）</t>
        </is>
      </c>
      <c r="C5" s="12" t="inlineStr">
        <is>
          <t>正常系</t>
        </is>
      </c>
      <c r="D5" s="12" t="inlineStr">
        <is>
          <t>区分の定員に余裕があれば受付済で申込できる</t>
        </is>
      </c>
      <c r="E5" s="12" t="inlineStr">
        <is>
          <t>区分あり、指定区分の受付済数＜区分定員</t>
        </is>
      </c>
      <c r="F5" s="12" t="inlineStr">
        <is>
          <t>apply</t>
        </is>
      </c>
      <c r="G5" s="12" t="inlineStr">
        <is>
          <t>申込状況＝受付済、ticketTypeIdが設定される</t>
        </is>
      </c>
      <c r="H5" s="12" t="inlineStr">
        <is>
          <t>-</t>
        </is>
      </c>
      <c r="I5" s="12" t="inlineStr">
        <is>
          <t>-</t>
        </is>
      </c>
      <c r="J5" s="12" t="inlineStr">
        <is>
          <t>R-02</t>
        </is>
      </c>
      <c r="K5" s="12" t="inlineStr">
        <is>
          <t>自動</t>
        </is>
      </c>
      <c r="L5" s="12" t="inlineStr">
        <is>
          <t>apply_機能追加_区分の定員に余裕があれば受付済で申込できる</t>
        </is>
      </c>
      <c r="M5" s="12" t="inlineStr">
        <is>
          <t>OK</t>
        </is>
      </c>
      <c r="N5" s="23" t="n">
        <v>46302</v>
      </c>
      <c r="O5" s="12" t="inlineStr">
        <is>
          <t>佐々木（Claude Code）</t>
        </is>
      </c>
      <c r="P5" s="12" t="inlineStr">
        <is>
          <t>自動テスト成功</t>
        </is>
      </c>
      <c r="Q5" s="12" t="inlineStr">
        <is>
          <t>evidence/UT/UT_バックエンド_結果一覧_20261007.txt</t>
        </is>
      </c>
      <c r="R5" s="12" t="n"/>
      <c r="S5" s="12" t="n"/>
      <c r="T5" s="12" t="n"/>
    </row>
    <row r="6" ht="27" customHeight="1">
      <c r="A6" s="12" t="inlineStr">
        <is>
          <t>UT-APP-N05</t>
        </is>
      </c>
      <c r="B6" s="12" t="inlineStr">
        <is>
          <t>ApplicationService（申込・キャンセル・当日受付）</t>
        </is>
      </c>
      <c r="C6" s="12" t="inlineStr">
        <is>
          <t>正常系</t>
        </is>
      </c>
      <c r="D6" s="12" t="inlineStr">
        <is>
          <t>区分の定員に達していればキャンセル待ちで登録される</t>
        </is>
      </c>
      <c r="E6" s="12" t="inlineStr">
        <is>
          <t>区分あり、指定区分の受付済数＝区分定員</t>
        </is>
      </c>
      <c r="F6" s="12" t="inlineStr">
        <is>
          <t>apply</t>
        </is>
      </c>
      <c r="G6" s="12" t="inlineStr">
        <is>
          <t>申込状況＝キャンセル待ち</t>
        </is>
      </c>
      <c r="H6" s="12" t="inlineStr">
        <is>
          <t>-</t>
        </is>
      </c>
      <c r="I6" s="12" t="inlineStr">
        <is>
          <t>-</t>
        </is>
      </c>
      <c r="J6" s="12" t="inlineStr">
        <is>
          <t>R-02</t>
        </is>
      </c>
      <c r="K6" s="12" t="inlineStr">
        <is>
          <t>自動</t>
        </is>
      </c>
      <c r="L6" s="12" t="inlineStr">
        <is>
          <t>apply_機能追加_区分の定員に達していればキャンセル待ちで登録される</t>
        </is>
      </c>
      <c r="M6" s="12" t="inlineStr">
        <is>
          <t>OK</t>
        </is>
      </c>
      <c r="N6" s="23" t="n">
        <v>46302</v>
      </c>
      <c r="O6" s="12" t="inlineStr">
        <is>
          <t>佐々木（Claude Code）</t>
        </is>
      </c>
      <c r="P6" s="12" t="inlineStr">
        <is>
          <t>自動テスト成功</t>
        </is>
      </c>
      <c r="Q6" s="12" t="inlineStr">
        <is>
          <t>evidence/UT/UT_バックエンド_結果一覧_20261007.txt</t>
        </is>
      </c>
      <c r="R6" s="12" t="n"/>
      <c r="S6" s="12" t="n"/>
      <c r="T6" s="12" t="n"/>
    </row>
    <row r="7" ht="27" customHeight="1">
      <c r="A7" s="12" t="inlineStr">
        <is>
          <t>UT-APP-N06</t>
        </is>
      </c>
      <c r="B7" s="12" t="inlineStr">
        <is>
          <t>ApplicationService（申込・キャンセル・当日受付）</t>
        </is>
      </c>
      <c r="C7" s="12" t="inlineStr">
        <is>
          <t>正常系</t>
        </is>
      </c>
      <c r="D7" s="12" t="inlineStr">
        <is>
          <t>現在時刻が申込締切ちょうどなら受付中と判定される</t>
        </is>
      </c>
      <c r="E7" s="12" t="inlineStr">
        <is>
          <t>現在時刻＝申込締切（開催日時より前）</t>
        </is>
      </c>
      <c r="F7" s="12" t="inlineStr">
        <is>
          <t>apply</t>
        </is>
      </c>
      <c r="G7" s="12" t="inlineStr">
        <is>
          <t>受付される（締切「以前」は受付）</t>
        </is>
      </c>
      <c r="H7" s="12" t="inlineStr">
        <is>
          <t>-</t>
        </is>
      </c>
      <c r="I7" s="12" t="inlineStr">
        <is>
          <t>-</t>
        </is>
      </c>
      <c r="J7" s="12" t="inlineStr">
        <is>
          <t>R-01</t>
        </is>
      </c>
      <c r="K7" s="12" t="inlineStr">
        <is>
          <t>自動</t>
        </is>
      </c>
      <c r="L7" s="12" t="inlineStr">
        <is>
          <t>apply_境界_現在時刻が申込締切ちょうどなら受付中と判定される</t>
        </is>
      </c>
      <c r="M7" s="12" t="inlineStr">
        <is>
          <t>OK</t>
        </is>
      </c>
      <c r="N7" s="23" t="n">
        <v>46302</v>
      </c>
      <c r="O7" s="12" t="inlineStr">
        <is>
          <t>佐々木（Claude Code）</t>
        </is>
      </c>
      <c r="P7" s="12" t="inlineStr">
        <is>
          <t>自動テスト成功</t>
        </is>
      </c>
      <c r="Q7" s="12" t="inlineStr">
        <is>
          <t>evidence/UT/UT_バックエンド_結果一覧_20261007.txt</t>
        </is>
      </c>
      <c r="R7" s="12" t="n"/>
      <c r="S7" s="12" t="n"/>
      <c r="T7" s="12" t="n"/>
    </row>
    <row r="8" ht="27" customHeight="1">
      <c r="A8" s="12" t="inlineStr">
        <is>
          <t>UT-APP-N07</t>
        </is>
      </c>
      <c r="B8" s="12" t="inlineStr">
        <is>
          <t>ApplicationService（申込・キャンセル・当日受付）</t>
        </is>
      </c>
      <c r="C8" s="12" t="inlineStr">
        <is>
          <t>正常系</t>
        </is>
      </c>
      <c r="D8" s="12" t="inlineStr">
        <is>
          <t>受付済かつ開催前なら取消できる</t>
        </is>
      </c>
      <c r="E8" s="12" t="inlineStr">
        <is>
          <t>本人・受付済・開催前</t>
        </is>
      </c>
      <c r="F8" s="12" t="inlineStr">
        <is>
          <t>cancel</t>
        </is>
      </c>
      <c r="G8" s="12" t="inlineStr">
        <is>
          <t>申込状況＝キャンセル済に更新される</t>
        </is>
      </c>
      <c r="H8" s="12" t="inlineStr">
        <is>
          <t>-</t>
        </is>
      </c>
      <c r="I8" s="12" t="inlineStr">
        <is>
          <t>-</t>
        </is>
      </c>
      <c r="J8" s="12" t="inlineStr">
        <is>
          <t>R-04</t>
        </is>
      </c>
      <c r="K8" s="12" t="inlineStr">
        <is>
          <t>自動</t>
        </is>
      </c>
      <c r="L8" s="12" t="inlineStr">
        <is>
          <t>cancel_正常系_受付済かつ開催前なら取消できる</t>
        </is>
      </c>
      <c r="M8" s="12" t="inlineStr">
        <is>
          <t>OK</t>
        </is>
      </c>
      <c r="N8" s="23" t="n">
        <v>46302</v>
      </c>
      <c r="O8" s="12" t="inlineStr">
        <is>
          <t>佐々木（Claude Code）</t>
        </is>
      </c>
      <c r="P8" s="12" t="inlineStr">
        <is>
          <t>自動テスト成功</t>
        </is>
      </c>
      <c r="Q8" s="12" t="inlineStr">
        <is>
          <t>evidence/UT/UT_バックエンド_結果一覧_20261007.txt</t>
        </is>
      </c>
      <c r="R8" s="12" t="n"/>
      <c r="S8" s="12" t="n"/>
      <c r="T8" s="12" t="n"/>
    </row>
    <row r="9" ht="27" customHeight="1">
      <c r="A9" s="12" t="inlineStr">
        <is>
          <t>UT-APP-N08</t>
        </is>
      </c>
      <c r="B9" s="12" t="inlineStr">
        <is>
          <t>ApplicationService（申込・キャンセル・当日受付）</t>
        </is>
      </c>
      <c r="C9" s="12" t="inlineStr">
        <is>
          <t>正常系</t>
        </is>
      </c>
      <c r="D9" s="12" t="inlineStr">
        <is>
          <t>受付済のキャンセルでキャンセル待ちが繰り上がる</t>
        </is>
      </c>
      <c r="E9" s="12" t="inlineStr">
        <is>
          <t>受付済をキャンセル、同一イベントにキャンセル待ちが複数</t>
        </is>
      </c>
      <c r="F9" s="12" t="inlineStr">
        <is>
          <t>cancel</t>
        </is>
      </c>
      <c r="G9" s="12" t="inlineStr">
        <is>
          <t>申込日時が最も古いキャンセル待ち1件だけが受付済になる</t>
        </is>
      </c>
      <c r="H9" s="12" t="inlineStr">
        <is>
          <t>-</t>
        </is>
      </c>
      <c r="I9" s="12" t="inlineStr">
        <is>
          <t>-</t>
        </is>
      </c>
      <c r="J9" s="12" t="inlineStr">
        <is>
          <t>R-05</t>
        </is>
      </c>
      <c r="K9" s="12" t="inlineStr">
        <is>
          <t>自動</t>
        </is>
      </c>
      <c r="L9" s="12" t="inlineStr">
        <is>
          <t>cancel_機能追加_受付済のキャンセルでキャンセル待ちが繰り上がる</t>
        </is>
      </c>
      <c r="M9" s="12" t="inlineStr">
        <is>
          <t>OK</t>
        </is>
      </c>
      <c r="N9" s="23" t="n">
        <v>46302</v>
      </c>
      <c r="O9" s="12" t="inlineStr">
        <is>
          <t>佐々木（Claude Code）</t>
        </is>
      </c>
      <c r="P9" s="12" t="inlineStr">
        <is>
          <t>自動テスト成功</t>
        </is>
      </c>
      <c r="Q9" s="12" t="inlineStr">
        <is>
          <t>evidence/UT/UT_バックエンド_結果一覧_20261007.txt</t>
        </is>
      </c>
      <c r="R9" s="12" t="n"/>
      <c r="S9" s="12" t="n"/>
      <c r="T9" s="12" t="n"/>
    </row>
    <row r="10" ht="27" customHeight="1">
      <c r="A10" s="12" t="inlineStr">
        <is>
          <t>UT-APP-N09</t>
        </is>
      </c>
      <c r="B10" s="12" t="inlineStr">
        <is>
          <t>ApplicationService（申込・キャンセル・当日受付）</t>
        </is>
      </c>
      <c r="C10" s="12" t="inlineStr">
        <is>
          <t>正常系</t>
        </is>
      </c>
      <c r="D10" s="12" t="inlineStr">
        <is>
          <t>キャンセル待ちの申込も取消できる</t>
        </is>
      </c>
      <c r="E10" s="12" t="inlineStr">
        <is>
          <t>キャンセル待ちをキャンセル</t>
        </is>
      </c>
      <c r="F10" s="12" t="inlineStr">
        <is>
          <t>cancel</t>
        </is>
      </c>
      <c r="G10" s="12" t="inlineStr">
        <is>
          <t>キャンセル済になり、繰り上げは発生しない</t>
        </is>
      </c>
      <c r="H10" s="12" t="inlineStr">
        <is>
          <t>-</t>
        </is>
      </c>
      <c r="I10" s="12" t="inlineStr">
        <is>
          <t>-</t>
        </is>
      </c>
      <c r="J10" s="12" t="inlineStr">
        <is>
          <t>R-04, R-05</t>
        </is>
      </c>
      <c r="K10" s="12" t="inlineStr">
        <is>
          <t>自動</t>
        </is>
      </c>
      <c r="L10" s="12" t="inlineStr">
        <is>
          <t>cancel_機能追加_キャンセル待ちの申込も取消できる</t>
        </is>
      </c>
      <c r="M10" s="12" t="inlineStr">
        <is>
          <t>OK</t>
        </is>
      </c>
      <c r="N10" s="23" t="n">
        <v>46302</v>
      </c>
      <c r="O10" s="12" t="inlineStr">
        <is>
          <t>佐々木（Claude Code）</t>
        </is>
      </c>
      <c r="P10" s="12" t="inlineStr">
        <is>
          <t>自動テスト成功</t>
        </is>
      </c>
      <c r="Q10" s="12" t="inlineStr">
        <is>
          <t>evidence/UT/UT_バックエンド_結果一覧_20261007.txt</t>
        </is>
      </c>
      <c r="R10" s="12" t="n"/>
      <c r="S10" s="12" t="n"/>
      <c r="T10" s="12" t="n"/>
    </row>
    <row r="11" ht="27" customHeight="1">
      <c r="A11" s="12" t="inlineStr">
        <is>
          <t>UT-APP-N10</t>
        </is>
      </c>
      <c r="B11" s="12" t="inlineStr">
        <is>
          <t>ApplicationService（申込・キャンセル・当日受付）</t>
        </is>
      </c>
      <c r="C11" s="12" t="inlineStr">
        <is>
          <t>正常系</t>
        </is>
      </c>
      <c r="D11" s="12" t="inlineStr">
        <is>
          <t>区分単位でキャンセル待ちが繰り上がる</t>
        </is>
      </c>
      <c r="E11" s="12" t="inlineStr">
        <is>
          <t>区分ありで受付済をキャンセル</t>
        </is>
      </c>
      <c r="F11" s="12" t="inlineStr">
        <is>
          <t>cancel</t>
        </is>
      </c>
      <c r="G11" s="12" t="inlineStr">
        <is>
          <t>同一区分のキャンセル待ちのみ繰り上がる（他区分は変化しない）</t>
        </is>
      </c>
      <c r="H11" s="12" t="inlineStr">
        <is>
          <t>-</t>
        </is>
      </c>
      <c r="I11" s="12" t="inlineStr">
        <is>
          <t>-</t>
        </is>
      </c>
      <c r="J11" s="12" t="inlineStr">
        <is>
          <t>R-05</t>
        </is>
      </c>
      <c r="K11" s="12" t="inlineStr">
        <is>
          <t>自動</t>
        </is>
      </c>
      <c r="L11" s="12" t="inlineStr">
        <is>
          <t>cancel_機能追加_区分単位でキャンセル待ちが繰り上がる</t>
        </is>
      </c>
      <c r="M11" s="12" t="inlineStr">
        <is>
          <t>OK</t>
        </is>
      </c>
      <c r="N11" s="23" t="n">
        <v>46302</v>
      </c>
      <c r="O11" s="12" t="inlineStr">
        <is>
          <t>佐々木（Claude Code）</t>
        </is>
      </c>
      <c r="P11" s="12" t="inlineStr">
        <is>
          <t>自動テスト成功</t>
        </is>
      </c>
      <c r="Q11" s="12" t="inlineStr">
        <is>
          <t>evidence/UT/UT_バックエンド_結果一覧_20261007.txt</t>
        </is>
      </c>
      <c r="R11" s="12" t="n"/>
      <c r="S11" s="12" t="n"/>
      <c r="T11" s="12" t="n"/>
    </row>
    <row r="12" ht="27" customHeight="1">
      <c r="A12" s="12" t="inlineStr">
        <is>
          <t>UT-APP-N11</t>
        </is>
      </c>
      <c r="B12" s="12" t="inlineStr">
        <is>
          <t>ApplicationService（申込・キャンセル・当日受付）</t>
        </is>
      </c>
      <c r="C12" s="12" t="inlineStr">
        <is>
          <t>正常系</t>
        </is>
      </c>
      <c r="D12" s="12" t="inlineStr">
        <is>
          <t>区分単位でキャンセル待ちの順位が計算される</t>
        </is>
      </c>
      <c r="E12" s="12" t="inlineStr">
        <is>
          <t>区分ありでキャンセル待ちが複数</t>
        </is>
      </c>
      <c r="F12" s="12" t="inlineStr">
        <is>
          <t>myApplications</t>
        </is>
      </c>
      <c r="G12" s="12" t="inlineStr">
        <is>
          <t>waitlistRankが同一区分内の「自分より古いキャンセル待ち件数＋1」になる</t>
        </is>
      </c>
      <c r="H12" s="12" t="inlineStr">
        <is>
          <t>-</t>
        </is>
      </c>
      <c r="I12" s="12" t="inlineStr">
        <is>
          <t>-</t>
        </is>
      </c>
      <c r="J12" s="12" t="inlineStr">
        <is>
          <t>10_要件定義書 7章「キャンセル待ち順位」</t>
        </is>
      </c>
      <c r="K12" s="12" t="inlineStr">
        <is>
          <t>自動</t>
        </is>
      </c>
      <c r="L12" s="12" t="inlineStr">
        <is>
          <t>myApplications_機能追加_区分単位でキャンセル待ちの順位が計算される</t>
        </is>
      </c>
      <c r="M12" s="12" t="inlineStr">
        <is>
          <t>OK</t>
        </is>
      </c>
      <c r="N12" s="23" t="n">
        <v>46302</v>
      </c>
      <c r="O12" s="12" t="inlineStr">
        <is>
          <t>佐々木（Claude Code）</t>
        </is>
      </c>
      <c r="P12" s="12" t="inlineStr">
        <is>
          <t>自動テスト成功</t>
        </is>
      </c>
      <c r="Q12" s="12" t="inlineStr">
        <is>
          <t>evidence/UT/UT_バックエンド_結果一覧_20261007.txt</t>
        </is>
      </c>
      <c r="R12" s="12" t="n"/>
      <c r="S12" s="12" t="n"/>
      <c r="T12" s="12" t="n"/>
    </row>
    <row r="13" ht="27" customHeight="1">
      <c r="A13" s="12" t="inlineStr">
        <is>
          <t>UT-APP-N12</t>
        </is>
      </c>
      <c r="B13" s="12" t="inlineStr">
        <is>
          <t>ApplicationService（申込・キャンセル・当日受付）</t>
        </is>
      </c>
      <c r="C13" s="12" t="inlineStr">
        <is>
          <t>正常系</t>
        </is>
      </c>
      <c r="D13" s="12" t="inlineStr">
        <is>
          <t>受付済の申込はwaitlistRankがNULL</t>
        </is>
      </c>
      <c r="E13" s="12" t="inlineStr">
        <is>
          <t>受付済の申込</t>
        </is>
      </c>
      <c r="F13" s="12" t="inlineStr">
        <is>
          <t>myApplications</t>
        </is>
      </c>
      <c r="G13" s="12" t="inlineStr">
        <is>
          <t>waitlistRankがNULL</t>
        </is>
      </c>
      <c r="H13" s="12" t="inlineStr">
        <is>
          <t>-</t>
        </is>
      </c>
      <c r="I13" s="12" t="inlineStr">
        <is>
          <t>-</t>
        </is>
      </c>
      <c r="J13" s="12" t="inlineStr">
        <is>
          <t>AP-031</t>
        </is>
      </c>
      <c r="K13" s="12" t="inlineStr">
        <is>
          <t>自動</t>
        </is>
      </c>
      <c r="L13" s="12" t="inlineStr">
        <is>
          <t>myApplications_正常系_受付済の申込はwaitlistRankがNULL</t>
        </is>
      </c>
      <c r="M13" s="12" t="inlineStr">
        <is>
          <t>OK</t>
        </is>
      </c>
      <c r="N13" s="23" t="n">
        <v>46302</v>
      </c>
      <c r="O13" s="12" t="inlineStr">
        <is>
          <t>佐々木（Claude Code）</t>
        </is>
      </c>
      <c r="P13" s="12" t="inlineStr">
        <is>
          <t>自動テスト成功</t>
        </is>
      </c>
      <c r="Q13" s="12" t="inlineStr">
        <is>
          <t>evidence/UT/UT_バックエンド_結果一覧_20261007.txt</t>
        </is>
      </c>
      <c r="R13" s="12" t="n"/>
      <c r="S13" s="12" t="n"/>
      <c r="T13" s="12" t="n"/>
    </row>
    <row r="14" ht="27" customHeight="1">
      <c r="A14" s="12" t="inlineStr">
        <is>
          <t>UT-APP-N13</t>
        </is>
      </c>
      <c r="B14" s="12" t="inlineStr">
        <is>
          <t>ApplicationService（申込・キャンセル・当日受付）</t>
        </is>
      </c>
      <c r="C14" s="12" t="inlineStr">
        <is>
          <t>正常系</t>
        </is>
      </c>
      <c r="D14" s="12" t="inlineStr">
        <is>
          <t>申込者一覧を返す</t>
        </is>
      </c>
      <c r="E14" s="12" t="inlineStr">
        <is>
          <t>申込が複数（状況混在）</t>
        </is>
      </c>
      <c r="F14" s="12" t="inlineStr">
        <is>
          <t>listAttendees</t>
        </is>
      </c>
      <c r="G14" s="12" t="inlineStr">
        <is>
          <t>全状況の申込を申込日時昇順で返す</t>
        </is>
      </c>
      <c r="H14" s="12" t="inlineStr">
        <is>
          <t>-</t>
        </is>
      </c>
      <c r="I14" s="12" t="inlineStr">
        <is>
          <t>-</t>
        </is>
      </c>
      <c r="J14" s="12" t="inlineStr">
        <is>
          <t>AP-125</t>
        </is>
      </c>
      <c r="K14" s="12" t="inlineStr">
        <is>
          <t>自動</t>
        </is>
      </c>
      <c r="L14" s="12" t="inlineStr">
        <is>
          <t>listAttendees_正常系_申込者一覧を返す</t>
        </is>
      </c>
      <c r="M14" s="12" t="inlineStr">
        <is>
          <t>OK</t>
        </is>
      </c>
      <c r="N14" s="23" t="n">
        <v>46302</v>
      </c>
      <c r="O14" s="12" t="inlineStr">
        <is>
          <t>佐々木（Claude Code）</t>
        </is>
      </c>
      <c r="P14" s="12" t="inlineStr">
        <is>
          <t>自動テスト成功</t>
        </is>
      </c>
      <c r="Q14" s="12" t="inlineStr">
        <is>
          <t>evidence/UT/UT_バックエンド_結果一覧_20261007.txt</t>
        </is>
      </c>
      <c r="R14" s="12" t="n"/>
      <c r="S14" s="12" t="n"/>
      <c r="T14" s="12" t="n"/>
    </row>
    <row r="15" ht="27" customHeight="1">
      <c r="A15" s="12" t="inlineStr">
        <is>
          <t>UT-APP-N14</t>
        </is>
      </c>
      <c r="B15" s="12" t="inlineStr">
        <is>
          <t>ApplicationService（申込・キャンセル・当日受付）</t>
        </is>
      </c>
      <c r="C15" s="12" t="inlineStr">
        <is>
          <t>正常系</t>
        </is>
      </c>
      <c r="D15" s="12" t="inlineStr">
        <is>
          <t>区分が無ければticketTypeNameはNULL</t>
        </is>
      </c>
      <c r="E15" s="12" t="inlineStr">
        <is>
          <t>区分なしイベント</t>
        </is>
      </c>
      <c r="F15" s="12" t="inlineStr">
        <is>
          <t>listAttendees</t>
        </is>
      </c>
      <c r="G15" s="12" t="inlineStr">
        <is>
          <t>ticketTypeNameがNULL</t>
        </is>
      </c>
      <c r="H15" s="12" t="inlineStr">
        <is>
          <t>-</t>
        </is>
      </c>
      <c r="I15" s="12" t="inlineStr">
        <is>
          <t>-</t>
        </is>
      </c>
      <c r="J15" s="12" t="inlineStr">
        <is>
          <t>AP-125</t>
        </is>
      </c>
      <c r="K15" s="12" t="inlineStr">
        <is>
          <t>自動</t>
        </is>
      </c>
      <c r="L15" s="12" t="inlineStr">
        <is>
          <t>listAttendees_正常系_区分が無ければticketTypeNameはNULL</t>
        </is>
      </c>
      <c r="M15" s="12" t="inlineStr">
        <is>
          <t>OK</t>
        </is>
      </c>
      <c r="N15" s="23" t="n">
        <v>46302</v>
      </c>
      <c r="O15" s="12" t="inlineStr">
        <is>
          <t>佐々木（Claude Code）</t>
        </is>
      </c>
      <c r="P15" s="12" t="inlineStr">
        <is>
          <t>自動テスト成功</t>
        </is>
      </c>
      <c r="Q15" s="12" t="inlineStr">
        <is>
          <t>evidence/UT/UT_バックエンド_結果一覧_20261007.txt</t>
        </is>
      </c>
      <c r="R15" s="12" t="n"/>
      <c r="S15" s="12" t="n"/>
      <c r="T15" s="12" t="n"/>
    </row>
    <row r="16" ht="27" customHeight="1">
      <c r="A16" s="12" t="inlineStr">
        <is>
          <t>UT-APP-N15</t>
        </is>
      </c>
      <c r="B16" s="12" t="inlineStr">
        <is>
          <t>ApplicationService（申込・キャンセル・当日受付）</t>
        </is>
      </c>
      <c r="C16" s="12" t="inlineStr">
        <is>
          <t>正常系</t>
        </is>
      </c>
      <c r="D16" s="12" t="inlineStr">
        <is>
          <t>受付済の申込はチェックインできる</t>
        </is>
      </c>
      <c r="E16" s="12" t="inlineStr">
        <is>
          <t>受付済・未チェックイン</t>
        </is>
      </c>
      <c r="F16" s="12" t="inlineStr">
        <is>
          <t>checkIn</t>
        </is>
      </c>
      <c r="G16" s="12" t="inlineStr">
        <is>
          <t>チェックイン日時に実行時刻が記録される</t>
        </is>
      </c>
      <c r="H16" s="12" t="inlineStr">
        <is>
          <t>-</t>
        </is>
      </c>
      <c r="I16" s="12" t="inlineStr">
        <is>
          <t>-</t>
        </is>
      </c>
      <c r="J16" s="12" t="inlineStr">
        <is>
          <t>R-06</t>
        </is>
      </c>
      <c r="K16" s="12" t="inlineStr">
        <is>
          <t>自動</t>
        </is>
      </c>
      <c r="L16" s="12" t="inlineStr">
        <is>
          <t>checkIn_正常系_受付済の申込はチェックインできる</t>
        </is>
      </c>
      <c r="M16" s="12" t="inlineStr">
        <is>
          <t>OK</t>
        </is>
      </c>
      <c r="N16" s="23" t="n">
        <v>46302</v>
      </c>
      <c r="O16" s="12" t="inlineStr">
        <is>
          <t>佐々木（Claude Code）</t>
        </is>
      </c>
      <c r="P16" s="12" t="inlineStr">
        <is>
          <t>自動テスト成功</t>
        </is>
      </c>
      <c r="Q16" s="12" t="inlineStr">
        <is>
          <t>evidence/UT/UT_バックエンド_結果一覧_20261007.txt</t>
        </is>
      </c>
      <c r="R16" s="12" t="n"/>
      <c r="S16" s="12" t="n"/>
      <c r="T16" s="12" t="n"/>
    </row>
    <row r="17" ht="27" customHeight="1">
      <c r="A17" s="12" t="inlineStr">
        <is>
          <t>UT-APP-N16</t>
        </is>
      </c>
      <c r="B17" s="12" t="inlineStr">
        <is>
          <t>ApplicationService（申込・キャンセル・当日受付）</t>
        </is>
      </c>
      <c r="C17" s="12" t="inlineStr">
        <is>
          <t>正常系</t>
        </is>
      </c>
      <c r="D17" s="12" t="inlineStr">
        <is>
          <t>チェックイン済みに再実行すると日時が更新される</t>
        </is>
      </c>
      <c r="E17" s="12" t="inlineStr">
        <is>
          <t>受付済・チェックイン済み</t>
        </is>
      </c>
      <c r="F17" s="12" t="inlineStr">
        <is>
          <t>checkIn</t>
        </is>
      </c>
      <c r="G17" s="12" t="inlineStr">
        <is>
          <t>チェックイン日時が最新の実行時刻に更新される</t>
        </is>
      </c>
      <c r="H17" s="12" t="inlineStr">
        <is>
          <t>-</t>
        </is>
      </c>
      <c r="I17" s="12" t="inlineStr">
        <is>
          <t>-</t>
        </is>
      </c>
      <c r="J17" s="12" t="inlineStr">
        <is>
          <t>10_要件定義書 7章「チェックインの記録」</t>
        </is>
      </c>
      <c r="K17" s="12" t="inlineStr">
        <is>
          <t>自動</t>
        </is>
      </c>
      <c r="L17" s="12" t="inlineStr">
        <is>
          <t>checkIn_正常系_チェックイン済みに再実行すると日時が更新される</t>
        </is>
      </c>
      <c r="M17" s="12" t="inlineStr">
        <is>
          <t>OK</t>
        </is>
      </c>
      <c r="N17" s="23" t="n">
        <v>46302</v>
      </c>
      <c r="O17" s="12" t="inlineStr">
        <is>
          <t>佐々木（Claude Code）</t>
        </is>
      </c>
      <c r="P17" s="12" t="inlineStr">
        <is>
          <t>自動テスト成功</t>
        </is>
      </c>
      <c r="Q17" s="12" t="inlineStr">
        <is>
          <t>evidence/UT/UT_バックエンド_結果一覧_20261007.txt</t>
        </is>
      </c>
      <c r="R17" s="12" t="n"/>
      <c r="S17" s="12" t="n"/>
      <c r="T17" s="12" t="n"/>
    </row>
    <row r="18" ht="27" customHeight="1">
      <c r="A18" s="12" t="inlineStr">
        <is>
          <t>UT-APP-E01</t>
        </is>
      </c>
      <c r="B18" s="12" t="inlineStr">
        <is>
          <t>ApplicationService（申込・キャンセル・当日受付）</t>
        </is>
      </c>
      <c r="C18" s="12" t="inlineStr">
        <is>
          <t>異常系</t>
        </is>
      </c>
      <c r="D18" s="12" t="inlineStr">
        <is>
          <t>イベントが存在しなければNotFoundException</t>
        </is>
      </c>
      <c r="E18" s="12" t="inlineStr">
        <is>
          <t>イベントが存在しない</t>
        </is>
      </c>
      <c r="F18" s="12" t="inlineStr">
        <is>
          <t>apply</t>
        </is>
      </c>
      <c r="G18" s="12" t="inlineStr">
        <is>
          <t>NotFoundException（E-B-001）</t>
        </is>
      </c>
      <c r="H18" s="12" t="inlineStr">
        <is>
          <t>-</t>
        </is>
      </c>
      <c r="I18" s="12" t="inlineStr">
        <is>
          <t>-</t>
        </is>
      </c>
      <c r="J18" s="12" t="inlineStr">
        <is>
          <t>32_処理詳細設計書 4章 AP-030 No.3</t>
        </is>
      </c>
      <c r="K18" s="12" t="inlineStr">
        <is>
          <t>自動</t>
        </is>
      </c>
      <c r="L18" s="12" t="inlineStr">
        <is>
          <t>apply_異常系_イベントが存在しなければNotFoundException</t>
        </is>
      </c>
      <c r="M18" s="12" t="inlineStr">
        <is>
          <t>OK</t>
        </is>
      </c>
      <c r="N18" s="23" t="n">
        <v>46302</v>
      </c>
      <c r="O18" s="12" t="inlineStr">
        <is>
          <t>佐々木（Claude Code）</t>
        </is>
      </c>
      <c r="P18" s="12" t="inlineStr">
        <is>
          <t>自動テスト成功</t>
        </is>
      </c>
      <c r="Q18" s="12" t="inlineStr">
        <is>
          <t>evidence/UT/UT_バックエンド_結果一覧_20261007.txt</t>
        </is>
      </c>
      <c r="R18" s="12" t="n"/>
      <c r="S18" s="12" t="n"/>
      <c r="T18" s="12" t="n"/>
    </row>
    <row r="19" ht="27" customHeight="1">
      <c r="A19" s="12" t="inlineStr">
        <is>
          <t>UT-APP-E02</t>
        </is>
      </c>
      <c r="B19" s="12" t="inlineStr">
        <is>
          <t>ApplicationService（申込・キャンセル・当日受付）</t>
        </is>
      </c>
      <c r="C19" s="12" t="inlineStr">
        <is>
          <t>異常系</t>
        </is>
      </c>
      <c r="D19" s="12" t="inlineStr">
        <is>
          <t>受付終了のイベントには申込できない</t>
        </is>
      </c>
      <c r="E19" s="12" t="inlineStr">
        <is>
          <t>申込締切を過ぎている</t>
        </is>
      </c>
      <c r="F19" s="12" t="inlineStr">
        <is>
          <t>apply</t>
        </is>
      </c>
      <c r="G19" s="12" t="inlineStr">
        <is>
          <t>BusinessException「申込受付は終了しました」（E-B-002）</t>
        </is>
      </c>
      <c r="H19" s="12" t="inlineStr">
        <is>
          <t>-</t>
        </is>
      </c>
      <c r="I19" s="12" t="inlineStr">
        <is>
          <t>-</t>
        </is>
      </c>
      <c r="J19" s="12" t="inlineStr">
        <is>
          <t>R-01</t>
        </is>
      </c>
      <c r="K19" s="12" t="inlineStr">
        <is>
          <t>自動</t>
        </is>
      </c>
      <c r="L19" s="12" t="inlineStr">
        <is>
          <t>apply_異常系_受付終了のイベントには申込できない</t>
        </is>
      </c>
      <c r="M19" s="12" t="inlineStr">
        <is>
          <t>OK</t>
        </is>
      </c>
      <c r="N19" s="23" t="n">
        <v>46302</v>
      </c>
      <c r="O19" s="12" t="inlineStr">
        <is>
          <t>佐々木（Claude Code）</t>
        </is>
      </c>
      <c r="P19" s="12" t="inlineStr">
        <is>
          <t>自動テスト成功</t>
        </is>
      </c>
      <c r="Q19" s="12" t="inlineStr">
        <is>
          <t>evidence/UT/UT_バックエンド_結果一覧_20261007.txt</t>
        </is>
      </c>
      <c r="R19" s="12" t="n"/>
      <c r="S19" s="12" t="n"/>
      <c r="T19" s="12" t="n"/>
    </row>
    <row r="20" ht="27" customHeight="1">
      <c r="A20" s="12" t="inlineStr">
        <is>
          <t>UT-APP-E03</t>
        </is>
      </c>
      <c r="B20" s="12" t="inlineStr">
        <is>
          <t>ApplicationService（申込・キャンセル・当日受付）</t>
        </is>
      </c>
      <c r="C20" s="12" t="inlineStr">
        <is>
          <t>異常系</t>
        </is>
      </c>
      <c r="D20" s="12" t="inlineStr">
        <is>
          <t>二重申込はできない</t>
        </is>
      </c>
      <c r="E20" s="12" t="inlineStr">
        <is>
          <t>同一イベントに受付済の申込がある</t>
        </is>
      </c>
      <c r="F20" s="12" t="inlineStr">
        <is>
          <t>apply</t>
        </is>
      </c>
      <c r="G20" s="12" t="inlineStr">
        <is>
          <t>BusinessException「すでに申し込み済みです」（E-B-003）</t>
        </is>
      </c>
      <c r="H20" s="12" t="inlineStr">
        <is>
          <t>-</t>
        </is>
      </c>
      <c r="I20" s="12" t="inlineStr">
        <is>
          <t>-</t>
        </is>
      </c>
      <c r="J20" s="12" t="inlineStr">
        <is>
          <t>R-03</t>
        </is>
      </c>
      <c r="K20" s="12" t="inlineStr">
        <is>
          <t>自動</t>
        </is>
      </c>
      <c r="L20" s="12" t="inlineStr">
        <is>
          <t>apply_異常系_二重申込はできない</t>
        </is>
      </c>
      <c r="M20" s="12" t="inlineStr">
        <is>
          <t>OK</t>
        </is>
      </c>
      <c r="N20" s="23" t="n">
        <v>46302</v>
      </c>
      <c r="O20" s="12" t="inlineStr">
        <is>
          <t>佐々木（Claude Code）</t>
        </is>
      </c>
      <c r="P20" s="12" t="inlineStr">
        <is>
          <t>自動テスト成功</t>
        </is>
      </c>
      <c r="Q20" s="12" t="inlineStr">
        <is>
          <t>evidence/UT/UT_バックエンド_結果一覧_20261007.txt</t>
        </is>
      </c>
      <c r="R20" s="12" t="n"/>
      <c r="S20" s="12" t="n"/>
      <c r="T20" s="12" t="n"/>
    </row>
    <row r="21" ht="27" customHeight="1">
      <c r="A21" s="12" t="inlineStr">
        <is>
          <t>UT-APP-E04</t>
        </is>
      </c>
      <c r="B21" s="12" t="inlineStr">
        <is>
          <t>ApplicationService（申込・キャンセル・当日受付）</t>
        </is>
      </c>
      <c r="C21" s="12" t="inlineStr">
        <is>
          <t>異常系</t>
        </is>
      </c>
      <c r="D21" s="12" t="inlineStr">
        <is>
          <t>キャンセル待ち中の二重申込もできない</t>
        </is>
      </c>
      <c r="E21" s="12" t="inlineStr">
        <is>
          <t>同一イベントにキャンセル待ちの申込がある</t>
        </is>
      </c>
      <c r="F21" s="12" t="inlineStr">
        <is>
          <t>apply</t>
        </is>
      </c>
      <c r="G21" s="12" t="inlineStr">
        <is>
          <t>E-B-003</t>
        </is>
      </c>
      <c r="H21" s="12" t="inlineStr">
        <is>
          <t>-</t>
        </is>
      </c>
      <c r="I21" s="12" t="inlineStr">
        <is>
          <t>-</t>
        </is>
      </c>
      <c r="J21" s="12" t="inlineStr">
        <is>
          <t>R-03</t>
        </is>
      </c>
      <c r="K21" s="12" t="inlineStr">
        <is>
          <t>自動</t>
        </is>
      </c>
      <c r="L21" s="12" t="inlineStr">
        <is>
          <t>apply_機能追加_キャンセル待ち中の二重申込もできない</t>
        </is>
      </c>
      <c r="M21" s="12" t="inlineStr">
        <is>
          <t>OK</t>
        </is>
      </c>
      <c r="N21" s="23" t="n">
        <v>46302</v>
      </c>
      <c r="O21" s="12" t="inlineStr">
        <is>
          <t>佐々木（Claude Code）</t>
        </is>
      </c>
      <c r="P21" s="12" t="inlineStr">
        <is>
          <t>自動テスト成功</t>
        </is>
      </c>
      <c r="Q21" s="12" t="inlineStr">
        <is>
          <t>evidence/UT/UT_バックエンド_結果一覧_20261007.txt</t>
        </is>
      </c>
      <c r="R21" s="12" t="n"/>
      <c r="S21" s="12" t="n"/>
      <c r="T21" s="12" t="n"/>
    </row>
    <row r="22" ht="27" customHeight="1">
      <c r="A22" s="12" t="inlineStr">
        <is>
          <t>UT-APP-E05</t>
        </is>
      </c>
      <c r="B22" s="12" t="inlineStr">
        <is>
          <t>ApplicationService（申込・キャンセル・当日受付）</t>
        </is>
      </c>
      <c r="C22" s="12" t="inlineStr">
        <is>
          <t>異常系</t>
        </is>
      </c>
      <c r="D22" s="12" t="inlineStr">
        <is>
          <t>区分があるのに未指定なら区分を選択してくださいで拒否される</t>
        </is>
      </c>
      <c r="E22" s="12" t="inlineStr">
        <is>
          <t>区分ありイベントでticketTypeId未指定</t>
        </is>
      </c>
      <c r="F22" s="12" t="inlineStr">
        <is>
          <t>apply</t>
        </is>
      </c>
      <c r="G22" s="12" t="inlineStr">
        <is>
          <t>BusinessException「区分を選択してください」（E-B-004）</t>
        </is>
      </c>
      <c r="H22" s="12" t="inlineStr">
        <is>
          <t>-</t>
        </is>
      </c>
      <c r="I22" s="12" t="inlineStr">
        <is>
          <t>-</t>
        </is>
      </c>
      <c r="J22" s="12" t="inlineStr">
        <is>
          <t>C-03</t>
        </is>
      </c>
      <c r="K22" s="12" t="inlineStr">
        <is>
          <t>自動</t>
        </is>
      </c>
      <c r="L22" s="12" t="inlineStr">
        <is>
          <t>apply_異常系_区分があるのに未指定なら区分を選択してくださいで拒否される</t>
        </is>
      </c>
      <c r="M22" s="12" t="inlineStr">
        <is>
          <t>OK</t>
        </is>
      </c>
      <c r="N22" s="23" t="n">
        <v>46302</v>
      </c>
      <c r="O22" s="12" t="inlineStr">
        <is>
          <t>佐々木（Claude Code）</t>
        </is>
      </c>
      <c r="P22" s="12" t="inlineStr">
        <is>
          <t>自動テスト成功</t>
        </is>
      </c>
      <c r="Q22" s="12" t="inlineStr">
        <is>
          <t>evidence/UT/UT_バックエンド_結果一覧_20261007.txt</t>
        </is>
      </c>
      <c r="R22" s="12" t="n"/>
      <c r="S22" s="12" t="n"/>
      <c r="T22" s="12" t="n"/>
    </row>
    <row r="23" ht="40.5" customHeight="1">
      <c r="A23" s="12" t="inlineStr">
        <is>
          <t>UT-APP-E06</t>
        </is>
      </c>
      <c r="B23" s="12" t="inlineStr">
        <is>
          <t>ApplicationService（申込・キャンセル・当日受付）</t>
        </is>
      </c>
      <c r="C23" s="12" t="inlineStr">
        <is>
          <t>異常系</t>
        </is>
      </c>
      <c r="D23" s="12" t="inlineStr">
        <is>
          <t>存在しない区分を指定すると指定された区分が見つかりませんで拒否される</t>
        </is>
      </c>
      <c r="E23" s="12" t="inlineStr">
        <is>
          <t>対象イベントに存在しない区分を指定</t>
        </is>
      </c>
      <c r="F23" s="12" t="inlineStr">
        <is>
          <t>apply</t>
        </is>
      </c>
      <c r="G23" s="12" t="inlineStr">
        <is>
          <t>NotFoundException「指定された区分が見つかりません」（E-B-005）</t>
        </is>
      </c>
      <c r="H23" s="12" t="inlineStr">
        <is>
          <t>-</t>
        </is>
      </c>
      <c r="I23" s="12" t="inlineStr">
        <is>
          <t>-</t>
        </is>
      </c>
      <c r="J23" s="12" t="inlineStr">
        <is>
          <t>32_処理詳細設計書 4章 AP-030 No.7</t>
        </is>
      </c>
      <c r="K23" s="12" t="inlineStr">
        <is>
          <t>自動</t>
        </is>
      </c>
      <c r="L23" s="12" t="inlineStr">
        <is>
          <t>apply_異常系_存在しない区分を指定すると指定された区分が見つかりませんで拒否される</t>
        </is>
      </c>
      <c r="M23" s="12" t="inlineStr">
        <is>
          <t>OK</t>
        </is>
      </c>
      <c r="N23" s="23" t="n">
        <v>46302</v>
      </c>
      <c r="O23" s="12" t="inlineStr">
        <is>
          <t>佐々木（Claude Code）</t>
        </is>
      </c>
      <c r="P23" s="12" t="inlineStr">
        <is>
          <t>自動テスト成功</t>
        </is>
      </c>
      <c r="Q23" s="12" t="inlineStr">
        <is>
          <t>evidence/UT/UT_バックエンド_結果一覧_20261007.txt</t>
        </is>
      </c>
      <c r="R23" s="12" t="n"/>
      <c r="S23" s="12" t="n"/>
      <c r="T23" s="12" t="n"/>
    </row>
    <row r="24" ht="27" customHeight="1">
      <c r="A24" s="12" t="inlineStr">
        <is>
          <t>UT-APP-E07</t>
        </is>
      </c>
      <c r="B24" s="12" t="inlineStr">
        <is>
          <t>ApplicationService（申込・キャンセル・当日受付）</t>
        </is>
      </c>
      <c r="C24" s="12" t="inlineStr">
        <is>
          <t>異常系</t>
        </is>
      </c>
      <c r="D24" s="12" t="inlineStr">
        <is>
          <t>他人の申込は取消できない</t>
        </is>
      </c>
      <c r="E24" s="12" t="inlineStr">
        <is>
          <t>他人の申込</t>
        </is>
      </c>
      <c r="F24" s="12" t="inlineStr">
        <is>
          <t>cancel</t>
        </is>
      </c>
      <c r="G24" s="12" t="inlineStr">
        <is>
          <t>ForbiddenException「権限がありません」（E-A-003）</t>
        </is>
      </c>
      <c r="H24" s="12" t="inlineStr">
        <is>
          <t>-</t>
        </is>
      </c>
      <c r="I24" s="12" t="inlineStr">
        <is>
          <t>-</t>
        </is>
      </c>
      <c r="J24" s="12" t="inlineStr">
        <is>
          <t>32_処理詳細設計書 4章 AP-032 No.2</t>
        </is>
      </c>
      <c r="K24" s="12" t="inlineStr">
        <is>
          <t>自動</t>
        </is>
      </c>
      <c r="L24" s="12" t="inlineStr">
        <is>
          <t>cancel_異常系_他人の申込は取消できない</t>
        </is>
      </c>
      <c r="M24" s="12" t="inlineStr">
        <is>
          <t>OK</t>
        </is>
      </c>
      <c r="N24" s="23" t="n">
        <v>46302</v>
      </c>
      <c r="O24" s="12" t="inlineStr">
        <is>
          <t>佐々木（Claude Code）</t>
        </is>
      </c>
      <c r="P24" s="12" t="inlineStr">
        <is>
          <t>自動テスト成功</t>
        </is>
      </c>
      <c r="Q24" s="12" t="inlineStr">
        <is>
          <t>evidence/UT/UT_バックエンド_結果一覧_20261007.txt</t>
        </is>
      </c>
      <c r="R24" s="12" t="n"/>
      <c r="S24" s="12" t="n"/>
      <c r="T24" s="12" t="n"/>
    </row>
    <row r="25" ht="27" customHeight="1">
      <c r="A25" s="12" t="inlineStr">
        <is>
          <t>UT-APP-E08</t>
        </is>
      </c>
      <c r="B25" s="12" t="inlineStr">
        <is>
          <t>ApplicationService（申込・キャンセル・当日受付）</t>
        </is>
      </c>
      <c r="C25" s="12" t="inlineStr">
        <is>
          <t>異常系</t>
        </is>
      </c>
      <c r="D25" s="12" t="inlineStr">
        <is>
          <t>開催日時を過ぎた申込は取消できない</t>
        </is>
      </c>
      <c r="E25" s="12" t="inlineStr">
        <is>
          <t>開催日時を過ぎた申込</t>
        </is>
      </c>
      <c r="F25" s="12" t="inlineStr">
        <is>
          <t>cancel</t>
        </is>
      </c>
      <c r="G25" s="12" t="inlineStr">
        <is>
          <t>BusinessException「取消できません」（E-B-010）</t>
        </is>
      </c>
      <c r="H25" s="12" t="inlineStr">
        <is>
          <t>-</t>
        </is>
      </c>
      <c r="I25" s="12" t="inlineStr">
        <is>
          <t>-</t>
        </is>
      </c>
      <c r="J25" s="12" t="inlineStr">
        <is>
          <t>R-04</t>
        </is>
      </c>
      <c r="K25" s="12" t="inlineStr">
        <is>
          <t>自動</t>
        </is>
      </c>
      <c r="L25" s="12" t="inlineStr">
        <is>
          <t>cancel_異常系_開催日時を過ぎた申込は取消できない</t>
        </is>
      </c>
      <c r="M25" s="12" t="inlineStr">
        <is>
          <t>OK</t>
        </is>
      </c>
      <c r="N25" s="23" t="n">
        <v>46302</v>
      </c>
      <c r="O25" s="12" t="inlineStr">
        <is>
          <t>佐々木（Claude Code）</t>
        </is>
      </c>
      <c r="P25" s="12" t="inlineStr">
        <is>
          <t>自動テスト成功</t>
        </is>
      </c>
      <c r="Q25" s="12" t="inlineStr">
        <is>
          <t>evidence/UT/UT_バックエンド_結果一覧_20261007.txt</t>
        </is>
      </c>
      <c r="R25" s="12" t="n"/>
      <c r="S25" s="12" t="n"/>
      <c r="T25" s="12" t="n"/>
    </row>
    <row r="26" ht="27" customHeight="1">
      <c r="A26" s="12" t="inlineStr">
        <is>
          <t>UT-APP-E09</t>
        </is>
      </c>
      <c r="B26" s="12" t="inlineStr">
        <is>
          <t>ApplicationService（申込・キャンセル・当日受付）</t>
        </is>
      </c>
      <c r="C26" s="12" t="inlineStr">
        <is>
          <t>異常系</t>
        </is>
      </c>
      <c r="D26" s="12" t="inlineStr">
        <is>
          <t>キャンセル済の申込は取消できない</t>
        </is>
      </c>
      <c r="E26" s="12" t="inlineStr">
        <is>
          <t>キャンセル済の申込</t>
        </is>
      </c>
      <c r="F26" s="12" t="inlineStr">
        <is>
          <t>cancel</t>
        </is>
      </c>
      <c r="G26" s="12" t="inlineStr">
        <is>
          <t>E-B-010</t>
        </is>
      </c>
      <c r="H26" s="12" t="inlineStr">
        <is>
          <t>-</t>
        </is>
      </c>
      <c r="I26" s="12" t="inlineStr">
        <is>
          <t>-</t>
        </is>
      </c>
      <c r="J26" s="12" t="inlineStr">
        <is>
          <t>R-04</t>
        </is>
      </c>
      <c r="K26" s="12" t="inlineStr">
        <is>
          <t>自動</t>
        </is>
      </c>
      <c r="L26" s="12" t="inlineStr">
        <is>
          <t>cancel_異常系_キャンセル済の申込は取消できない</t>
        </is>
      </c>
      <c r="M26" s="12" t="inlineStr">
        <is>
          <t>OK</t>
        </is>
      </c>
      <c r="N26" s="23" t="n">
        <v>46302</v>
      </c>
      <c r="O26" s="12" t="inlineStr">
        <is>
          <t>佐々木（Claude Code）</t>
        </is>
      </c>
      <c r="P26" s="12" t="inlineStr">
        <is>
          <t>自動テスト成功</t>
        </is>
      </c>
      <c r="Q26" s="12" t="inlineStr">
        <is>
          <t>evidence/UT/UT_バックエンド_結果一覧_20261007.txt</t>
        </is>
      </c>
      <c r="R26" s="12" t="n"/>
      <c r="S26" s="12" t="n"/>
      <c r="T26" s="12" t="n"/>
    </row>
    <row r="27" ht="27" customHeight="1">
      <c r="A27" s="12" t="inlineStr">
        <is>
          <t>UT-APP-E10</t>
        </is>
      </c>
      <c r="B27" s="12" t="inlineStr">
        <is>
          <t>ApplicationService（申込・キャンセル・当日受付）</t>
        </is>
      </c>
      <c r="C27" s="12" t="inlineStr">
        <is>
          <t>異常系</t>
        </is>
      </c>
      <c r="D27" s="12" t="inlineStr">
        <is>
          <t>申込が存在しなければNotFoundException</t>
        </is>
      </c>
      <c r="E27" s="12" t="inlineStr">
        <is>
          <t>申込が存在しない</t>
        </is>
      </c>
      <c r="F27" s="12" t="inlineStr">
        <is>
          <t>cancel</t>
        </is>
      </c>
      <c r="G27" s="12" t="inlineStr">
        <is>
          <t>NotFoundException「申込が見つかりません」（E-B-009）</t>
        </is>
      </c>
      <c r="H27" s="12" t="inlineStr">
        <is>
          <t>-</t>
        </is>
      </c>
      <c r="I27" s="12" t="inlineStr">
        <is>
          <t>-</t>
        </is>
      </c>
      <c r="J27" s="12" t="inlineStr">
        <is>
          <t>32_処理詳細設計書 4章 AP-032 No.1</t>
        </is>
      </c>
      <c r="K27" s="12" t="inlineStr">
        <is>
          <t>自動</t>
        </is>
      </c>
      <c r="L27" s="12" t="inlineStr">
        <is>
          <t>cancel_異常系_申込が存在しなければNotFoundException</t>
        </is>
      </c>
      <c r="M27" s="12" t="inlineStr">
        <is>
          <t>OK</t>
        </is>
      </c>
      <c r="N27" s="23" t="n">
        <v>46302</v>
      </c>
      <c r="O27" s="12" t="inlineStr">
        <is>
          <t>佐々木（Claude Code）</t>
        </is>
      </c>
      <c r="P27" s="12" t="inlineStr">
        <is>
          <t>自動テスト成功</t>
        </is>
      </c>
      <c r="Q27" s="12" t="inlineStr">
        <is>
          <t>evidence/UT/UT_バックエンド_結果一覧_20261007.txt</t>
        </is>
      </c>
      <c r="R27" s="12" t="n"/>
      <c r="S27" s="12" t="n"/>
      <c r="T27" s="12" t="n"/>
    </row>
    <row r="28" ht="27" customHeight="1">
      <c r="A28" s="12" t="inlineStr">
        <is>
          <t>UT-APP-E11</t>
        </is>
      </c>
      <c r="B28" s="12" t="inlineStr">
        <is>
          <t>ApplicationService（申込・キャンセル・当日受付）</t>
        </is>
      </c>
      <c r="C28" s="12" t="inlineStr">
        <is>
          <t>異常系</t>
        </is>
      </c>
      <c r="D28" s="12" t="inlineStr">
        <is>
          <t>イベントが存在しなければNotFoundException</t>
        </is>
      </c>
      <c r="E28" s="12" t="inlineStr">
        <is>
          <t>イベントが存在しない</t>
        </is>
      </c>
      <c r="F28" s="12" t="inlineStr">
        <is>
          <t>listAttendees</t>
        </is>
      </c>
      <c r="G28" s="12" t="inlineStr">
        <is>
          <t>E-B-001</t>
        </is>
      </c>
      <c r="H28" s="12" t="inlineStr">
        <is>
          <t>-</t>
        </is>
      </c>
      <c r="I28" s="12" t="inlineStr">
        <is>
          <t>-</t>
        </is>
      </c>
      <c r="J28" s="12" t="inlineStr">
        <is>
          <t>AP-125</t>
        </is>
      </c>
      <c r="K28" s="12" t="inlineStr">
        <is>
          <t>自動</t>
        </is>
      </c>
      <c r="L28" s="12" t="inlineStr">
        <is>
          <t>listAttendees_異常系_イベントが存在しなければNotFoundException</t>
        </is>
      </c>
      <c r="M28" s="12" t="inlineStr">
        <is>
          <t>OK</t>
        </is>
      </c>
      <c r="N28" s="23" t="n">
        <v>46302</v>
      </c>
      <c r="O28" s="12" t="inlineStr">
        <is>
          <t>佐々木（Claude Code）</t>
        </is>
      </c>
      <c r="P28" s="12" t="inlineStr">
        <is>
          <t>自動テスト成功</t>
        </is>
      </c>
      <c r="Q28" s="12" t="inlineStr">
        <is>
          <t>evidence/UT/UT_バックエンド_結果一覧_20261007.txt</t>
        </is>
      </c>
      <c r="R28" s="12" t="n"/>
      <c r="S28" s="12" t="n"/>
      <c r="T28" s="12" t="n"/>
    </row>
    <row r="29" ht="40.5" customHeight="1">
      <c r="A29" s="12" t="inlineStr">
        <is>
          <t>UT-APP-E12</t>
        </is>
      </c>
      <c r="B29" s="12" t="inlineStr">
        <is>
          <t>ApplicationService（申込・キャンセル・当日受付）</t>
        </is>
      </c>
      <c r="C29" s="12" t="inlineStr">
        <is>
          <t>異常系</t>
        </is>
      </c>
      <c r="D29" s="12" t="inlineStr">
        <is>
          <t>キャンセル待ちの申込はチェックインできない</t>
        </is>
      </c>
      <c r="E29" s="12" t="inlineStr">
        <is>
          <t>申込状況がキャンセル待ちの申込</t>
        </is>
      </c>
      <c r="F29" s="12" t="inlineStr">
        <is>
          <t>checkIn</t>
        </is>
      </c>
      <c r="G29" s="12" t="inlineStr">
        <is>
          <t>BusinessException「受付済の申込のみチェックインできます」（E-B-012）。チェックイン日時は設定されない</t>
        </is>
      </c>
      <c r="H29" s="12" t="inlineStr">
        <is>
          <t>-</t>
        </is>
      </c>
      <c r="I29" s="12" t="inlineStr">
        <is>
          <t>-</t>
        </is>
      </c>
      <c r="J29" s="12" t="inlineStr">
        <is>
          <t>R-06</t>
        </is>
      </c>
      <c r="K29" s="12" t="inlineStr">
        <is>
          <t>自動</t>
        </is>
      </c>
      <c r="L29" s="12" t="inlineStr">
        <is>
          <t>checkIn_異常系_キャンセル待ちの申込はチェックインできない</t>
        </is>
      </c>
      <c r="M29" s="12" t="inlineStr">
        <is>
          <t>OK</t>
        </is>
      </c>
      <c r="N29" s="23" t="n">
        <v>46302</v>
      </c>
      <c r="O29" s="12" t="inlineStr">
        <is>
          <t>佐々木（Claude Code）</t>
        </is>
      </c>
      <c r="P29" s="12" t="inlineStr">
        <is>
          <t>自動テスト成功</t>
        </is>
      </c>
      <c r="Q29" s="12" t="inlineStr">
        <is>
          <t>evidence/UT/UT_バックエンド_結果一覧_20261007.txt</t>
        </is>
      </c>
      <c r="R29" s="12" t="n"/>
      <c r="S29" s="12" t="n"/>
      <c r="T29" s="12" t="n"/>
    </row>
    <row r="30" ht="40.5" customHeight="1">
      <c r="A30" s="12" t="inlineStr">
        <is>
          <t>UT-APP-E13</t>
        </is>
      </c>
      <c r="B30" s="12" t="inlineStr">
        <is>
          <t>ApplicationService（申込・キャンセル・当日受付）</t>
        </is>
      </c>
      <c r="C30" s="12" t="inlineStr">
        <is>
          <t>異常系</t>
        </is>
      </c>
      <c r="D30" s="12" t="inlineStr">
        <is>
          <t>キャンセル済の申込はチェックインできない</t>
        </is>
      </c>
      <c r="E30" s="12" t="inlineStr">
        <is>
          <t>申込状況がキャンセル済の申込</t>
        </is>
      </c>
      <c r="F30" s="12" t="inlineStr">
        <is>
          <t>checkIn</t>
        </is>
      </c>
      <c r="G30" s="12" t="inlineStr">
        <is>
          <t>BusinessException「受付済の申込のみチェックインできます」（E-B-012）。チェックイン日時は設定されない</t>
        </is>
      </c>
      <c r="H30" s="12" t="inlineStr">
        <is>
          <t>-</t>
        </is>
      </c>
      <c r="I30" s="12" t="inlineStr">
        <is>
          <t>-</t>
        </is>
      </c>
      <c r="J30" s="12" t="inlineStr">
        <is>
          <t>R-06</t>
        </is>
      </c>
      <c r="K30" s="12" t="inlineStr">
        <is>
          <t>自動</t>
        </is>
      </c>
      <c r="L30" s="12" t="inlineStr">
        <is>
          <t>checkIn_異常系_キャンセル済の申込はチェックインできない</t>
        </is>
      </c>
      <c r="M30" s="12" t="inlineStr">
        <is>
          <t>OK</t>
        </is>
      </c>
      <c r="N30" s="23" t="n">
        <v>46302</v>
      </c>
      <c r="O30" s="12" t="inlineStr">
        <is>
          <t>佐々木（Claude Code）</t>
        </is>
      </c>
      <c r="P30" s="12" t="inlineStr">
        <is>
          <t>自動テスト成功</t>
        </is>
      </c>
      <c r="Q30" s="12" t="inlineStr">
        <is>
          <t>evidence/UT/UT_バックエンド_結果一覧_20261007.txt</t>
        </is>
      </c>
      <c r="R30" s="12" t="n"/>
      <c r="S30" s="12" t="n"/>
      <c r="T30" s="12" t="n"/>
    </row>
    <row r="31" ht="27" customHeight="1">
      <c r="A31" s="12" t="inlineStr">
        <is>
          <t>UT-APP-E14</t>
        </is>
      </c>
      <c r="B31" s="12" t="inlineStr">
        <is>
          <t>ApplicationService（申込・キャンセル・当日受付）</t>
        </is>
      </c>
      <c r="C31" s="12" t="inlineStr">
        <is>
          <t>異常系</t>
        </is>
      </c>
      <c r="D31" s="12" t="inlineStr">
        <is>
          <t>申込が存在しなければNotFoundException</t>
        </is>
      </c>
      <c r="E31" s="12" t="inlineStr">
        <is>
          <t>申込が存在しない</t>
        </is>
      </c>
      <c r="F31" s="12" t="inlineStr">
        <is>
          <t>checkIn</t>
        </is>
      </c>
      <c r="G31" s="12" t="inlineStr">
        <is>
          <t>E-B-009</t>
        </is>
      </c>
      <c r="H31" s="12" t="inlineStr">
        <is>
          <t>-</t>
        </is>
      </c>
      <c r="I31" s="12" t="inlineStr">
        <is>
          <t>-</t>
        </is>
      </c>
      <c r="J31" s="12" t="inlineStr">
        <is>
          <t>AP-126</t>
        </is>
      </c>
      <c r="K31" s="12" t="inlineStr">
        <is>
          <t>自動</t>
        </is>
      </c>
      <c r="L31" s="12" t="inlineStr">
        <is>
          <t>checkIn_異常系_申込が存在しなければNotFoundException</t>
        </is>
      </c>
      <c r="M31" s="12" t="inlineStr">
        <is>
          <t>OK</t>
        </is>
      </c>
      <c r="N31" s="23" t="n">
        <v>46302</v>
      </c>
      <c r="O31" s="12" t="inlineStr">
        <is>
          <t>佐々木（Claude Code）</t>
        </is>
      </c>
      <c r="P31" s="12" t="inlineStr">
        <is>
          <t>自動テスト成功</t>
        </is>
      </c>
      <c r="Q31" s="12" t="inlineStr">
        <is>
          <t>evidence/UT/UT_バックエンド_結果一覧_20261007.txt</t>
        </is>
      </c>
      <c r="R31" s="12" t="n"/>
      <c r="S31" s="12" t="n"/>
      <c r="T31" s="12" t="n"/>
    </row>
    <row r="32" ht="40.5" customHeight="1">
      <c r="A32" s="12" t="inlineStr">
        <is>
          <t>UT-EVT-N01</t>
        </is>
      </c>
      <c r="B32" s="12" t="inlineStr">
        <is>
          <t>EventService（イベントの登録・更新・削除・復元・一覧）</t>
        </is>
      </c>
      <c r="C32" s="12" t="inlineStr">
        <is>
          <t>正常系</t>
        </is>
      </c>
      <c r="D32" s="12" t="inlineStr">
        <is>
          <t>申込が無ければ削除できる</t>
        </is>
      </c>
      <c r="E32" s="12" t="inlineStr">
        <is>
          <t>申込が無い</t>
        </is>
      </c>
      <c r="F32" s="12" t="inlineStr">
        <is>
          <t>delete</t>
        </is>
      </c>
      <c r="G32" s="12" t="inlineStr">
        <is>
          <t>削除日時が設定される（論理削除）</t>
        </is>
      </c>
      <c r="H32" s="12" t="inlineStr">
        <is>
          <t>-</t>
        </is>
      </c>
      <c r="I32" s="12" t="inlineStr">
        <is>
          <t>-</t>
        </is>
      </c>
      <c r="J32" s="12" t="inlineStr">
        <is>
          <t>F-121</t>
        </is>
      </c>
      <c r="K32" s="12" t="inlineStr">
        <is>
          <t>自動</t>
        </is>
      </c>
      <c r="L32" s="12" t="inlineStr">
        <is>
          <t>delete_正常系_申込が無ければ削除できる</t>
        </is>
      </c>
      <c r="M32" s="12" t="inlineStr">
        <is>
          <t>OK</t>
        </is>
      </c>
      <c r="N32" s="23" t="n">
        <v>46302</v>
      </c>
      <c r="O32" s="12" t="inlineStr">
        <is>
          <t>佐々木（Claude Code）</t>
        </is>
      </c>
      <c r="P32" s="12" t="inlineStr">
        <is>
          <t>自動テスト成功</t>
        </is>
      </c>
      <c r="Q32" s="12" t="inlineStr">
        <is>
          <t>evidence/UT/UT_バックエンド_結果一覧_20261007.txt</t>
        </is>
      </c>
      <c r="R32" s="12" t="n"/>
      <c r="S32" s="12" t="n"/>
      <c r="T32" s="12" t="n"/>
    </row>
    <row r="33" ht="40.5" customHeight="1">
      <c r="A33" s="12" t="inlineStr">
        <is>
          <t>UT-EVT-N02</t>
        </is>
      </c>
      <c r="B33" s="12" t="inlineStr">
        <is>
          <t>EventService（イベントの登録・更新・削除・復元・一覧）</t>
        </is>
      </c>
      <c r="C33" s="12" t="inlineStr">
        <is>
          <t>正常系</t>
        </is>
      </c>
      <c r="D33" s="12" t="inlineStr">
        <is>
          <t>キャンセル待ちとキャンセル済の申込のみなら削除できる</t>
        </is>
      </c>
      <c r="E33" s="12" t="inlineStr">
        <is>
          <t>キャンセル待ち・キャンセル済の申込のみ</t>
        </is>
      </c>
      <c r="F33" s="12" t="inlineStr">
        <is>
          <t>delete</t>
        </is>
      </c>
      <c r="G33" s="12" t="inlineStr">
        <is>
          <t>削除できる</t>
        </is>
      </c>
      <c r="H33" s="12" t="inlineStr">
        <is>
          <t>-</t>
        </is>
      </c>
      <c r="I33" s="12" t="inlineStr">
        <is>
          <t>-</t>
        </is>
      </c>
      <c r="J33" s="12" t="inlineStr">
        <is>
          <t>R-07</t>
        </is>
      </c>
      <c r="K33" s="12" t="inlineStr">
        <is>
          <t>自動</t>
        </is>
      </c>
      <c r="L33" s="12" t="inlineStr">
        <is>
          <t>delete_正常系_キャンセル待ちとキャンセル済の申込のみなら削除できる</t>
        </is>
      </c>
      <c r="M33" s="12" t="inlineStr">
        <is>
          <t>OK</t>
        </is>
      </c>
      <c r="N33" s="23" t="n">
        <v>46302</v>
      </c>
      <c r="O33" s="12" t="inlineStr">
        <is>
          <t>佐々木（Claude Code）</t>
        </is>
      </c>
      <c r="P33" s="12" t="inlineStr">
        <is>
          <t>自動テスト成功</t>
        </is>
      </c>
      <c r="Q33" s="12" t="inlineStr">
        <is>
          <t>evidence/UT/UT_バックエンド_結果一覧_20261007.txt</t>
        </is>
      </c>
      <c r="R33" s="12" t="n"/>
      <c r="S33" s="12" t="n"/>
      <c r="T33" s="12" t="n"/>
    </row>
    <row r="34" ht="40.5" customHeight="1">
      <c r="A34" s="12" t="inlineStr">
        <is>
          <t>UT-EVT-N03</t>
        </is>
      </c>
      <c r="B34" s="12" t="inlineStr">
        <is>
          <t>EventService（イベントの登録・更新・削除・復元・一覧）</t>
        </is>
      </c>
      <c r="C34" s="12" t="inlineStr">
        <is>
          <t>正常系</t>
        </is>
      </c>
      <c r="D34" s="12" t="inlineStr">
        <is>
          <t>削除済みイベントのみ返す</t>
        </is>
      </c>
      <c r="E34" s="12" t="inlineStr">
        <is>
          <t>有効・削除済みが混在</t>
        </is>
      </c>
      <c r="F34" s="12" t="inlineStr">
        <is>
          <t>listDeleted</t>
        </is>
      </c>
      <c r="G34" s="12" t="inlineStr">
        <is>
          <t>削除済みのみ返す</t>
        </is>
      </c>
      <c r="H34" s="12" t="inlineStr">
        <is>
          <t>-</t>
        </is>
      </c>
      <c r="I34" s="12" t="inlineStr">
        <is>
          <t>-</t>
        </is>
      </c>
      <c r="J34" s="12" t="inlineStr">
        <is>
          <t>AP-123</t>
        </is>
      </c>
      <c r="K34" s="12" t="inlineStr">
        <is>
          <t>自動</t>
        </is>
      </c>
      <c r="L34" s="12" t="inlineStr">
        <is>
          <t>listDeleted_正常系_削除済みイベントのみ返す</t>
        </is>
      </c>
      <c r="M34" s="12" t="inlineStr">
        <is>
          <t>OK</t>
        </is>
      </c>
      <c r="N34" s="23" t="n">
        <v>46302</v>
      </c>
      <c r="O34" s="12" t="inlineStr">
        <is>
          <t>佐々木（Claude Code）</t>
        </is>
      </c>
      <c r="P34" s="12" t="inlineStr">
        <is>
          <t>自動テスト成功</t>
        </is>
      </c>
      <c r="Q34" s="12" t="inlineStr">
        <is>
          <t>evidence/UT/UT_バックエンド_結果一覧_20261007.txt</t>
        </is>
      </c>
      <c r="R34" s="12" t="n"/>
      <c r="S34" s="12" t="n"/>
      <c r="T34" s="12" t="n"/>
    </row>
    <row r="35" ht="40.5" customHeight="1">
      <c r="A35" s="12" t="inlineStr">
        <is>
          <t>UT-EVT-N04</t>
        </is>
      </c>
      <c r="B35" s="12" t="inlineStr">
        <is>
          <t>EventService（イベントの登録・更新・削除・復元・一覧）</t>
        </is>
      </c>
      <c r="C35" s="12" t="inlineStr">
        <is>
          <t>正常系</t>
        </is>
      </c>
      <c r="D35" s="12" t="inlineStr">
        <is>
          <t>複製に必要な項目を含む</t>
        </is>
      </c>
      <c r="E35" s="12" t="inlineStr">
        <is>
          <t>区分・アンケート付きの削除済みイベント</t>
        </is>
      </c>
      <c r="F35" s="12" t="inlineStr">
        <is>
          <t>listDeleted</t>
        </is>
      </c>
      <c r="G35" s="12" t="inlineStr">
        <is>
          <t>description・organizerName・imageUrl・extraQuestion・ticketTypesを含む</t>
        </is>
      </c>
      <c r="H35" s="12" t="inlineStr">
        <is>
          <t>-</t>
        </is>
      </c>
      <c r="I35" s="12" t="inlineStr">
        <is>
          <t>-</t>
        </is>
      </c>
      <c r="J35" s="12" t="inlineStr">
        <is>
          <t>AP-123</t>
        </is>
      </c>
      <c r="K35" s="12" t="inlineStr">
        <is>
          <t>自動</t>
        </is>
      </c>
      <c r="L35" s="12" t="inlineStr">
        <is>
          <t>listDeleted_正常系_複製に必要な項目を含む</t>
        </is>
      </c>
      <c r="M35" s="12" t="inlineStr">
        <is>
          <t>OK</t>
        </is>
      </c>
      <c r="N35" s="23" t="n">
        <v>46302</v>
      </c>
      <c r="O35" s="12" t="inlineStr">
        <is>
          <t>佐々木（Claude Code）</t>
        </is>
      </c>
      <c r="P35" s="12" t="inlineStr">
        <is>
          <t>自動テスト成功</t>
        </is>
      </c>
      <c r="Q35" s="12" t="inlineStr">
        <is>
          <t>evidence/UT/UT_バックエンド_結果一覧_20261007.txt</t>
        </is>
      </c>
      <c r="R35" s="12" t="n"/>
      <c r="S35" s="12" t="n"/>
      <c r="T35" s="12" t="n"/>
    </row>
    <row r="36" ht="40.5" customHeight="1">
      <c r="A36" s="12" t="inlineStr">
        <is>
          <t>UT-EVT-N05</t>
        </is>
      </c>
      <c r="B36" s="12" t="inlineStr">
        <is>
          <t>EventService（イベントの登録・更新・削除・復元・一覧）</t>
        </is>
      </c>
      <c r="C36" s="12" t="inlineStr">
        <is>
          <t>正常系</t>
        </is>
      </c>
      <c r="D36" s="12" t="inlineStr">
        <is>
          <t>削除済みイベントを復元できる</t>
        </is>
      </c>
      <c r="E36" s="12" t="inlineStr">
        <is>
          <t>削除済みイベント</t>
        </is>
      </c>
      <c r="F36" s="12" t="inlineStr">
        <is>
          <t>restore</t>
        </is>
      </c>
      <c r="G36" s="12" t="inlineStr">
        <is>
          <t>削除日時がNULLになり詳細を返す</t>
        </is>
      </c>
      <c r="H36" s="12" t="inlineStr">
        <is>
          <t>-</t>
        </is>
      </c>
      <c r="I36" s="12" t="inlineStr">
        <is>
          <t>-</t>
        </is>
      </c>
      <c r="J36" s="12" t="inlineStr">
        <is>
          <t>F-121</t>
        </is>
      </c>
      <c r="K36" s="12" t="inlineStr">
        <is>
          <t>自動</t>
        </is>
      </c>
      <c r="L36" s="12" t="inlineStr">
        <is>
          <t>restore_正常系_削除済みイベントを復元できる</t>
        </is>
      </c>
      <c r="M36" s="12" t="inlineStr">
        <is>
          <t>OK</t>
        </is>
      </c>
      <c r="N36" s="23" t="n">
        <v>46302</v>
      </c>
      <c r="O36" s="12" t="inlineStr">
        <is>
          <t>佐々木（Claude Code）</t>
        </is>
      </c>
      <c r="P36" s="12" t="inlineStr">
        <is>
          <t>自動テスト成功</t>
        </is>
      </c>
      <c r="Q36" s="12" t="inlineStr">
        <is>
          <t>evidence/UT/UT_バックエンド_結果一覧_20261007.txt</t>
        </is>
      </c>
      <c r="R36" s="12" t="n"/>
      <c r="S36" s="12" t="n"/>
      <c r="T36" s="12" t="n"/>
    </row>
    <row r="37" ht="40.5" customHeight="1">
      <c r="A37" s="12" t="inlineStr">
        <is>
          <t>UT-EVT-N06</t>
        </is>
      </c>
      <c r="B37" s="12" t="inlineStr">
        <is>
          <t>EventService（イベントの登録・更新・削除・復元・一覧）</t>
        </is>
      </c>
      <c r="C37" s="12" t="inlineStr">
        <is>
          <t>正常系</t>
        </is>
      </c>
      <c r="D37" s="12" t="inlineStr">
        <is>
          <t>区分を指定すると保存されcapacityが同期される</t>
        </is>
      </c>
      <c r="E37" s="12" t="inlineStr">
        <is>
          <t>capacity指定＋区分2件</t>
        </is>
      </c>
      <c r="F37" s="12" t="inlineStr">
        <is>
          <t>create</t>
        </is>
      </c>
      <c r="G37" s="12" t="inlineStr">
        <is>
          <t>区分が保存され、capacityが区分定員合計に同期される</t>
        </is>
      </c>
      <c r="H37" s="12" t="inlineStr">
        <is>
          <t>-</t>
        </is>
      </c>
      <c r="I37" s="12" t="inlineStr">
        <is>
          <t>-</t>
        </is>
      </c>
      <c r="J37" s="12" t="inlineStr">
        <is>
          <t>R-11</t>
        </is>
      </c>
      <c r="K37" s="12" t="inlineStr">
        <is>
          <t>自動</t>
        </is>
      </c>
      <c r="L37" s="12" t="inlineStr">
        <is>
          <t>create_正常系_区分を指定すると保存されcapacityが同期される</t>
        </is>
      </c>
      <c r="M37" s="12" t="inlineStr">
        <is>
          <t>OK</t>
        </is>
      </c>
      <c r="N37" s="23" t="n">
        <v>46302</v>
      </c>
      <c r="O37" s="12" t="inlineStr">
        <is>
          <t>佐々木（Claude Code）</t>
        </is>
      </c>
      <c r="P37" s="12" t="inlineStr">
        <is>
          <t>自動テスト成功</t>
        </is>
      </c>
      <c r="Q37" s="12" t="inlineStr">
        <is>
          <t>evidence/UT/UT_バックエンド_結果一覧_20261007.txt</t>
        </is>
      </c>
      <c r="R37" s="12" t="n"/>
      <c r="S37" s="12" t="n"/>
      <c r="T37" s="12" t="n"/>
    </row>
    <row r="38" ht="40.5" customHeight="1">
      <c r="A38" s="12" t="inlineStr">
        <is>
          <t>UT-EVT-N07</t>
        </is>
      </c>
      <c r="B38" s="12" t="inlineStr">
        <is>
          <t>EventService（イベントの登録・更新・削除・復元・一覧）</t>
        </is>
      </c>
      <c r="C38" s="12" t="inlineStr">
        <is>
          <t>正常系</t>
        </is>
      </c>
      <c r="D38" s="12" t="inlineStr">
        <is>
          <t>capacity未指定でも区分の定員合計を使う</t>
        </is>
      </c>
      <c r="E38" s="12" t="inlineStr">
        <is>
          <t>capacity未指定＋区分あり</t>
        </is>
      </c>
      <c r="F38" s="12" t="inlineStr">
        <is>
          <t>create</t>
        </is>
      </c>
      <c r="G38" s="12" t="inlineStr">
        <is>
          <t>capacity＝区分定員合計</t>
        </is>
      </c>
      <c r="H38" s="12" t="inlineStr">
        <is>
          <t>-</t>
        </is>
      </c>
      <c r="I38" s="12" t="inlineStr">
        <is>
          <t>-</t>
        </is>
      </c>
      <c r="J38" s="12" t="inlineStr">
        <is>
          <t>R-11, C-02</t>
        </is>
      </c>
      <c r="K38" s="12" t="inlineStr">
        <is>
          <t>自動</t>
        </is>
      </c>
      <c r="L38" s="12" t="inlineStr">
        <is>
          <t>create_正常系_capacity未指定でも区分の定員合計を使う</t>
        </is>
      </c>
      <c r="M38" s="12" t="inlineStr">
        <is>
          <t>OK</t>
        </is>
      </c>
      <c r="N38" s="23" t="n">
        <v>46302</v>
      </c>
      <c r="O38" s="12" t="inlineStr">
        <is>
          <t>佐々木（Claude Code）</t>
        </is>
      </c>
      <c r="P38" s="12" t="inlineStr">
        <is>
          <t>自動テスト成功</t>
        </is>
      </c>
      <c r="Q38" s="12" t="inlineStr">
        <is>
          <t>evidence/UT/UT_バックエンド_結果一覧_20261007.txt</t>
        </is>
      </c>
      <c r="R38" s="12" t="n"/>
      <c r="S38" s="12" t="n"/>
      <c r="T38" s="12" t="n"/>
    </row>
    <row r="39" ht="40.5" customHeight="1">
      <c r="A39" s="12" t="inlineStr">
        <is>
          <t>UT-EVT-N08</t>
        </is>
      </c>
      <c r="B39" s="12" t="inlineStr">
        <is>
          <t>EventService（イベントの登録・更新・削除・復元・一覧）</t>
        </is>
      </c>
      <c r="C39" s="12" t="inlineStr">
        <is>
          <t>正常系</t>
        </is>
      </c>
      <c r="D39" s="12" t="inlineStr">
        <is>
          <t>区分未指定なら既存の区分は変更しない</t>
        </is>
      </c>
      <c r="E39" s="12" t="inlineStr">
        <is>
          <t>ticketTypes未指定</t>
        </is>
      </c>
      <c r="F39" s="12" t="inlineStr">
        <is>
          <t>update</t>
        </is>
      </c>
      <c r="G39" s="12" t="inlineStr">
        <is>
          <t>既存の区分は変更されない</t>
        </is>
      </c>
      <c r="H39" s="12" t="inlineStr">
        <is>
          <t>-</t>
        </is>
      </c>
      <c r="I39" s="12" t="inlineStr">
        <is>
          <t>-</t>
        </is>
      </c>
      <c r="J39" s="12" t="inlineStr">
        <is>
          <t>AP-121</t>
        </is>
      </c>
      <c r="K39" s="12" t="inlineStr">
        <is>
          <t>自動</t>
        </is>
      </c>
      <c r="L39" s="12" t="inlineStr">
        <is>
          <t>update_正常系_区分未指定なら既存の区分は変更しない</t>
        </is>
      </c>
      <c r="M39" s="12" t="inlineStr">
        <is>
          <t>OK</t>
        </is>
      </c>
      <c r="N39" s="23" t="n">
        <v>46302</v>
      </c>
      <c r="O39" s="12" t="inlineStr">
        <is>
          <t>佐々木（Claude Code）</t>
        </is>
      </c>
      <c r="P39" s="12" t="inlineStr">
        <is>
          <t>自動テスト成功</t>
        </is>
      </c>
      <c r="Q39" s="12" t="inlineStr">
        <is>
          <t>evidence/UT/UT_バックエンド_結果一覧_20261007.txt</t>
        </is>
      </c>
      <c r="R39" s="12" t="n"/>
      <c r="S39" s="12" t="n"/>
      <c r="T39" s="12" t="n"/>
    </row>
    <row r="40" ht="40.5" customHeight="1">
      <c r="A40" s="12" t="inlineStr">
        <is>
          <t>UT-EVT-N09</t>
        </is>
      </c>
      <c r="B40" s="12" t="inlineStr">
        <is>
          <t>EventService（イベントの登録・更新・削除・復元・一覧）</t>
        </is>
      </c>
      <c r="C40" s="12" t="inlineStr">
        <is>
          <t>正常系</t>
        </is>
      </c>
      <c r="D40" s="12" t="inlineStr">
        <is>
          <t>区分未指定でも既存区分があればcapacityを合計に保つ</t>
        </is>
      </c>
      <c r="E40" s="12" t="inlineStr">
        <is>
          <t>ticketTypes未指定、capacityに別値、既存区分あり</t>
        </is>
      </c>
      <c r="F40" s="12" t="inlineStr">
        <is>
          <t>update</t>
        </is>
      </c>
      <c r="G40" s="12" t="inlineStr">
        <is>
          <t>capacityは既存区分の定員合計に保たれる</t>
        </is>
      </c>
      <c r="H40" s="12" t="inlineStr">
        <is>
          <t>-</t>
        </is>
      </c>
      <c r="I40" s="12" t="inlineStr">
        <is>
          <t>-</t>
        </is>
      </c>
      <c r="J40" s="12" t="inlineStr">
        <is>
          <t>AP-121</t>
        </is>
      </c>
      <c r="K40" s="12" t="inlineStr">
        <is>
          <t>自動</t>
        </is>
      </c>
      <c r="L40" s="12" t="inlineStr">
        <is>
          <t>update_正常系_区分未指定でも既存区分があればcapacityを合計に保つ</t>
        </is>
      </c>
      <c r="M40" s="12" t="inlineStr">
        <is>
          <t>OK</t>
        </is>
      </c>
      <c r="N40" s="23" t="n">
        <v>46302</v>
      </c>
      <c r="O40" s="12" t="inlineStr">
        <is>
          <t>佐々木（Claude Code）</t>
        </is>
      </c>
      <c r="P40" s="12" t="inlineStr">
        <is>
          <t>自動テスト成功</t>
        </is>
      </c>
      <c r="Q40" s="12" t="inlineStr">
        <is>
          <t>evidence/UT/UT_バックエンド_結果一覧_20261007.txt</t>
        </is>
      </c>
      <c r="R40" s="12" t="n"/>
      <c r="S40" s="12" t="n"/>
      <c r="T40" s="12" t="n"/>
    </row>
    <row r="41" ht="40.5" customHeight="1">
      <c r="A41" s="12" t="inlineStr">
        <is>
          <t>UT-EVT-N10</t>
        </is>
      </c>
      <c r="B41" s="12" t="inlineStr">
        <is>
          <t>EventService（イベントの登録・更新・削除・復元・一覧）</t>
        </is>
      </c>
      <c r="C41" s="12" t="inlineStr">
        <is>
          <t>正常系</t>
        </is>
      </c>
      <c r="D41" s="12" t="inlineStr">
        <is>
          <t>capacity未指定かつ区分未指定でも既存区分があれば維持される</t>
        </is>
      </c>
      <c r="E41" s="12" t="inlineStr">
        <is>
          <t>capacity未指定＋ticketTypes未指定、既存区分あり</t>
        </is>
      </c>
      <c r="F41" s="12" t="inlineStr">
        <is>
          <t>update</t>
        </is>
      </c>
      <c r="G41" s="12" t="inlineStr">
        <is>
          <t>既存区分が維持され、capacity＝合計</t>
        </is>
      </c>
      <c r="H41" s="12" t="inlineStr">
        <is>
          <t>-</t>
        </is>
      </c>
      <c r="I41" s="12" t="inlineStr">
        <is>
          <t>-</t>
        </is>
      </c>
      <c r="J41" s="12" t="inlineStr">
        <is>
          <t>AP-121</t>
        </is>
      </c>
      <c r="K41" s="12" t="inlineStr">
        <is>
          <t>自動</t>
        </is>
      </c>
      <c r="L41" s="12" t="inlineStr">
        <is>
          <t>update_正常系_capacity未指定かつ区分未指定でも既存区分があれば維持される</t>
        </is>
      </c>
      <c r="M41" s="12" t="inlineStr">
        <is>
          <t>OK</t>
        </is>
      </c>
      <c r="N41" s="23" t="n">
        <v>46302</v>
      </c>
      <c r="O41" s="12" t="inlineStr">
        <is>
          <t>佐々木（Claude Code）</t>
        </is>
      </c>
      <c r="P41" s="12" t="inlineStr">
        <is>
          <t>自動テスト成功</t>
        </is>
      </c>
      <c r="Q41" s="12" t="inlineStr">
        <is>
          <t>evidence/UT/UT_バックエンド_結果一覧_20261007.txt</t>
        </is>
      </c>
      <c r="R41" s="12" t="n"/>
      <c r="S41" s="12" t="n"/>
      <c r="T41" s="12" t="n"/>
    </row>
    <row r="42" ht="40.5" customHeight="1">
      <c r="A42" s="12" t="inlineStr">
        <is>
          <t>UT-EVT-N11</t>
        </is>
      </c>
      <c r="B42" s="12" t="inlineStr">
        <is>
          <t>EventService（イベントの登録・更新・削除・復元・一覧）</t>
        </is>
      </c>
      <c r="C42" s="12" t="inlineStr">
        <is>
          <t>正常系</t>
        </is>
      </c>
      <c r="D42" s="12" t="inlineStr">
        <is>
          <t>区分を全置換しcapacityが同期される</t>
        </is>
      </c>
      <c r="E42" s="12" t="inlineStr">
        <is>
          <t>ticketTypesを別内容で指定、有効な申込なし</t>
        </is>
      </c>
      <c r="F42" s="12" t="inlineStr">
        <is>
          <t>update</t>
        </is>
      </c>
      <c r="G42" s="12" t="inlineStr">
        <is>
          <t>区分が全置換され、capacityが同期される</t>
        </is>
      </c>
      <c r="H42" s="12" t="inlineStr">
        <is>
          <t>-</t>
        </is>
      </c>
      <c r="I42" s="12" t="inlineStr">
        <is>
          <t>-</t>
        </is>
      </c>
      <c r="J42" s="12" t="inlineStr">
        <is>
          <t>10_要件定義書 7章「参加区分の変更」</t>
        </is>
      </c>
      <c r="K42" s="12" t="inlineStr">
        <is>
          <t>自動</t>
        </is>
      </c>
      <c r="L42" s="12" t="inlineStr">
        <is>
          <t>update_正常系_区分を全置換しcapacityが同期される</t>
        </is>
      </c>
      <c r="M42" s="12" t="inlineStr">
        <is>
          <t>OK</t>
        </is>
      </c>
      <c r="N42" s="23" t="n">
        <v>46302</v>
      </c>
      <c r="O42" s="12" t="inlineStr">
        <is>
          <t>佐々木（Claude Code）</t>
        </is>
      </c>
      <c r="P42" s="12" t="inlineStr">
        <is>
          <t>自動テスト成功</t>
        </is>
      </c>
      <c r="Q42" s="12" t="inlineStr">
        <is>
          <t>evidence/UT/UT_バックエンド_結果一覧_20261007.txt</t>
        </is>
      </c>
      <c r="R42" s="12" t="n"/>
      <c r="S42" s="12" t="n"/>
      <c r="T42" s="12" t="n"/>
    </row>
    <row r="43" ht="40.5" customHeight="1">
      <c r="A43" s="12" t="inlineStr">
        <is>
          <t>UT-EVT-N12</t>
        </is>
      </c>
      <c r="B43" s="12" t="inlineStr">
        <is>
          <t>EventService（イベントの登録・更新・削除・復元・一覧）</t>
        </is>
      </c>
      <c r="C43" s="12" t="inlineStr">
        <is>
          <t>正常系</t>
        </is>
      </c>
      <c r="D43" s="12" t="inlineStr">
        <is>
          <t>openなら受付中かつ未削除のみを開催日時昇順で返す</t>
        </is>
      </c>
      <c r="E43" s="12" t="inlineStr">
        <is>
          <t>申込状況＝open、受付中・受付終了・削除済みが混在</t>
        </is>
      </c>
      <c r="F43" s="12" t="inlineStr">
        <is>
          <t>list</t>
        </is>
      </c>
      <c r="G43" s="12" t="inlineStr">
        <is>
          <t>受付中かつ未削除のみを開催日時昇順で返す</t>
        </is>
      </c>
      <c r="H43" s="12" t="inlineStr">
        <is>
          <t>-</t>
        </is>
      </c>
      <c r="I43" s="12" t="inlineStr">
        <is>
          <t>-</t>
        </is>
      </c>
      <c r="J43" s="12" t="inlineStr">
        <is>
          <t>AP-020</t>
        </is>
      </c>
      <c r="K43" s="12" t="inlineStr">
        <is>
          <t>自動</t>
        </is>
      </c>
      <c r="L43" s="12" t="inlineStr">
        <is>
          <t>list_正常系_openなら受付中かつ未削除のみを開催日時昇順で返す</t>
        </is>
      </c>
      <c r="M43" s="12" t="inlineStr">
        <is>
          <t>OK</t>
        </is>
      </c>
      <c r="N43" s="23" t="n">
        <v>46302</v>
      </c>
      <c r="O43" s="12" t="inlineStr">
        <is>
          <t>佐々木（Claude Code）</t>
        </is>
      </c>
      <c r="P43" s="12" t="inlineStr">
        <is>
          <t>自動テスト成功</t>
        </is>
      </c>
      <c r="Q43" s="12" t="inlineStr">
        <is>
          <t>evidence/UT/UT_バックエンド_結果一覧_20261007.txt</t>
        </is>
      </c>
      <c r="R43" s="12" t="n"/>
      <c r="S43" s="12" t="n"/>
      <c r="T43" s="12" t="n"/>
    </row>
    <row r="44" ht="40.5" customHeight="1">
      <c r="A44" s="12" t="inlineStr">
        <is>
          <t>UT-EVT-E01</t>
        </is>
      </c>
      <c r="B44" s="12" t="inlineStr">
        <is>
          <t>EventService（イベントの登録・更新・削除・復元・一覧）</t>
        </is>
      </c>
      <c r="C44" s="12" t="inlineStr">
        <is>
          <t>異常系</t>
        </is>
      </c>
      <c r="D44" s="12" t="inlineStr">
        <is>
          <t>受付済の申込があれば削除できない</t>
        </is>
      </c>
      <c r="E44" s="12" t="inlineStr">
        <is>
          <t>受付済の申込が1件ある</t>
        </is>
      </c>
      <c r="F44" s="12" t="inlineStr">
        <is>
          <t>delete</t>
        </is>
      </c>
      <c r="G44" s="12" t="inlineStr">
        <is>
          <t>BusinessException「申込があるため削除できません」（E-B-013）</t>
        </is>
      </c>
      <c r="H44" s="12" t="inlineStr">
        <is>
          <t>-</t>
        </is>
      </c>
      <c r="I44" s="12" t="inlineStr">
        <is>
          <t>-</t>
        </is>
      </c>
      <c r="J44" s="12" t="inlineStr">
        <is>
          <t>R-07</t>
        </is>
      </c>
      <c r="K44" s="12" t="inlineStr">
        <is>
          <t>自動</t>
        </is>
      </c>
      <c r="L44" s="12" t="inlineStr">
        <is>
          <t>delete_異常系_受付済の申込があれば削除できない</t>
        </is>
      </c>
      <c r="M44" s="12" t="inlineStr">
        <is>
          <t>OK</t>
        </is>
      </c>
      <c r="N44" s="23" t="n">
        <v>46302</v>
      </c>
      <c r="O44" s="12" t="inlineStr">
        <is>
          <t>佐々木（Claude Code）</t>
        </is>
      </c>
      <c r="P44" s="12" t="inlineStr">
        <is>
          <t>自動テスト成功</t>
        </is>
      </c>
      <c r="Q44" s="12" t="inlineStr">
        <is>
          <t>evidence/UT/UT_バックエンド_結果一覧_20261007.txt</t>
        </is>
      </c>
      <c r="R44" s="12" t="n"/>
      <c r="S44" s="12" t="n"/>
      <c r="T44" s="12" t="n"/>
    </row>
    <row r="45" ht="40.5" customHeight="1">
      <c r="A45" s="12" t="inlineStr">
        <is>
          <t>UT-EVT-E02</t>
        </is>
      </c>
      <c r="B45" s="12" t="inlineStr">
        <is>
          <t>EventService（イベントの登録・更新・削除・復元・一覧）</t>
        </is>
      </c>
      <c r="C45" s="12" t="inlineStr">
        <is>
          <t>異常系</t>
        </is>
      </c>
      <c r="D45" s="12" t="inlineStr">
        <is>
          <t>イベントが存在しなければNotFoundException</t>
        </is>
      </c>
      <c r="E45" s="12" t="inlineStr">
        <is>
          <t>イベントが存在しない</t>
        </is>
      </c>
      <c r="F45" s="12" t="inlineStr">
        <is>
          <t>delete</t>
        </is>
      </c>
      <c r="G45" s="12" t="inlineStr">
        <is>
          <t>E-B-001</t>
        </is>
      </c>
      <c r="H45" s="12" t="inlineStr">
        <is>
          <t>-</t>
        </is>
      </c>
      <c r="I45" s="12" t="inlineStr">
        <is>
          <t>-</t>
        </is>
      </c>
      <c r="J45" s="12" t="inlineStr">
        <is>
          <t>AP-122</t>
        </is>
      </c>
      <c r="K45" s="12" t="inlineStr">
        <is>
          <t>自動</t>
        </is>
      </c>
      <c r="L45" s="12" t="inlineStr">
        <is>
          <t>delete_異常系_イベントが存在しなければNotFoundException</t>
        </is>
      </c>
      <c r="M45" s="12" t="inlineStr">
        <is>
          <t>OK</t>
        </is>
      </c>
      <c r="N45" s="23" t="n">
        <v>46302</v>
      </c>
      <c r="O45" s="12" t="inlineStr">
        <is>
          <t>佐々木（Claude Code）</t>
        </is>
      </c>
      <c r="P45" s="12" t="inlineStr">
        <is>
          <t>自動テスト成功</t>
        </is>
      </c>
      <c r="Q45" s="12" t="inlineStr">
        <is>
          <t>evidence/UT/UT_バックエンド_結果一覧_20261007.txt</t>
        </is>
      </c>
      <c r="R45" s="12" t="n"/>
      <c r="S45" s="12" t="n"/>
      <c r="T45" s="12" t="n"/>
    </row>
    <row r="46" ht="40.5" customHeight="1">
      <c r="A46" s="12" t="inlineStr">
        <is>
          <t>UT-EVT-E03</t>
        </is>
      </c>
      <c r="B46" s="12" t="inlineStr">
        <is>
          <t>EventService（イベントの登録・更新・削除・復元・一覧）</t>
        </is>
      </c>
      <c r="C46" s="12" t="inlineStr">
        <is>
          <t>異常系</t>
        </is>
      </c>
      <c r="D46" s="12" t="inlineStr">
        <is>
          <t>削除済みイベントが存在しなければNotFoundException</t>
        </is>
      </c>
      <c r="E46" s="12" t="inlineStr">
        <is>
          <t>指定したIDに、削除済みのイベントが無い</t>
        </is>
      </c>
      <c r="F46" s="12" t="inlineStr">
        <is>
          <t>restore</t>
        </is>
      </c>
      <c r="G46" s="12" t="inlineStr">
        <is>
          <t>NotFoundException「削除済みイベントが見つかりません」（E-B-014）</t>
        </is>
      </c>
      <c r="H46" s="12" t="inlineStr">
        <is>
          <t>-</t>
        </is>
      </c>
      <c r="I46" s="12" t="inlineStr">
        <is>
          <t>-</t>
        </is>
      </c>
      <c r="J46" s="12" t="inlineStr">
        <is>
          <t>R-08</t>
        </is>
      </c>
      <c r="K46" s="12" t="inlineStr">
        <is>
          <t>自動</t>
        </is>
      </c>
      <c r="L46" s="12" t="inlineStr">
        <is>
          <t>restore_異常系_削除済みイベントが存在しなければNotFoundException</t>
        </is>
      </c>
      <c r="M46" s="12" t="inlineStr">
        <is>
          <t>OK</t>
        </is>
      </c>
      <c r="N46" s="23" t="n">
        <v>46302</v>
      </c>
      <c r="O46" s="12" t="inlineStr">
        <is>
          <t>佐々木（Claude Code）</t>
        </is>
      </c>
      <c r="P46" s="12" t="inlineStr">
        <is>
          <t>自動テスト成功</t>
        </is>
      </c>
      <c r="Q46" s="12" t="inlineStr">
        <is>
          <t>evidence/UT/UT_バックエンド_結果一覧_20261007.txt</t>
        </is>
      </c>
      <c r="R46" s="12" t="n"/>
      <c r="S46" s="12" t="n"/>
      <c r="T46" s="12" t="n"/>
    </row>
    <row r="47" ht="40.5" customHeight="1">
      <c r="A47" s="12" t="inlineStr">
        <is>
          <t>UT-EVT-E04</t>
        </is>
      </c>
      <c r="B47" s="12" t="inlineStr">
        <is>
          <t>EventService（イベントの登録・更新・削除・復元・一覧）</t>
        </is>
      </c>
      <c r="C47" s="12" t="inlineStr">
        <is>
          <t>異常系</t>
        </is>
      </c>
      <c r="D47" s="12" t="inlineStr">
        <is>
          <t>capacityも区分も未指定なら登録できない</t>
        </is>
      </c>
      <c r="E47" s="12" t="inlineStr">
        <is>
          <t>capacity未指定＋区分なし</t>
        </is>
      </c>
      <c r="F47" s="12" t="inlineStr">
        <is>
          <t>create</t>
        </is>
      </c>
      <c r="G47" s="12" t="inlineStr">
        <is>
          <t>BusinessException「定員を入力してください」（E-B-006）</t>
        </is>
      </c>
      <c r="H47" s="12" t="inlineStr">
        <is>
          <t>-</t>
        </is>
      </c>
      <c r="I47" s="12" t="inlineStr">
        <is>
          <t>-</t>
        </is>
      </c>
      <c r="J47" s="12" t="inlineStr">
        <is>
          <t>R-11</t>
        </is>
      </c>
      <c r="K47" s="12" t="inlineStr">
        <is>
          <t>自動</t>
        </is>
      </c>
      <c r="L47" s="12" t="inlineStr">
        <is>
          <t>create_異常系_capacityも区分も未指定なら登録できない</t>
        </is>
      </c>
      <c r="M47" s="12" t="inlineStr">
        <is>
          <t>OK</t>
        </is>
      </c>
      <c r="N47" s="23" t="n">
        <v>46302</v>
      </c>
      <c r="O47" s="12" t="inlineStr">
        <is>
          <t>佐々木（Claude Code）</t>
        </is>
      </c>
      <c r="P47" s="12" t="inlineStr">
        <is>
          <t>自動テスト成功</t>
        </is>
      </c>
      <c r="Q47" s="12" t="inlineStr">
        <is>
          <t>evidence/UT/UT_バックエンド_結果一覧_20261007.txt</t>
        </is>
      </c>
      <c r="R47" s="12" t="n"/>
      <c r="S47" s="12" t="n"/>
      <c r="T47" s="12" t="n"/>
    </row>
    <row r="48" ht="40.5" customHeight="1">
      <c r="A48" s="12" t="inlineStr">
        <is>
          <t>UT-EVT-E05</t>
        </is>
      </c>
      <c r="B48" s="12" t="inlineStr">
        <is>
          <t>EventService（イベントの登録・更新・削除・復元・一覧）</t>
        </is>
      </c>
      <c r="C48" s="12" t="inlineStr">
        <is>
          <t>異常系</t>
        </is>
      </c>
      <c r="D48" s="12" t="inlineStr">
        <is>
          <t>capacity未指定かつ既存区分も無ければ更新できない</t>
        </is>
      </c>
      <c r="E48" s="12" t="inlineStr">
        <is>
          <t>capacity未指定＋ticketTypes未指定、既存区分なし</t>
        </is>
      </c>
      <c r="F48" s="12" t="inlineStr">
        <is>
          <t>update</t>
        </is>
      </c>
      <c r="G48" s="12" t="inlineStr">
        <is>
          <t>E-B-006</t>
        </is>
      </c>
      <c r="H48" s="12" t="inlineStr">
        <is>
          <t>-</t>
        </is>
      </c>
      <c r="I48" s="12" t="inlineStr">
        <is>
          <t>-</t>
        </is>
      </c>
      <c r="J48" s="12" t="inlineStr">
        <is>
          <t>AP-121</t>
        </is>
      </c>
      <c r="K48" s="12" t="inlineStr">
        <is>
          <t>自動</t>
        </is>
      </c>
      <c r="L48" s="12" t="inlineStr">
        <is>
          <t>update_異常系_capacity未指定かつ既存区分も無ければ更新できない</t>
        </is>
      </c>
      <c r="M48" s="12" t="inlineStr">
        <is>
          <t>OK</t>
        </is>
      </c>
      <c r="N48" s="23" t="n">
        <v>46302</v>
      </c>
      <c r="O48" s="12" t="inlineStr">
        <is>
          <t>佐々木（Claude Code）</t>
        </is>
      </c>
      <c r="P48" s="12" t="inlineStr">
        <is>
          <t>自動テスト成功</t>
        </is>
      </c>
      <c r="Q48" s="12" t="inlineStr">
        <is>
          <t>evidence/UT/UT_バックエンド_結果一覧_20261007.txt</t>
        </is>
      </c>
      <c r="R48" s="12" t="n"/>
      <c r="S48" s="12" t="n"/>
      <c r="T48" s="12" t="n"/>
    </row>
    <row r="49" ht="40.5" customHeight="1">
      <c r="A49" s="12" t="inlineStr">
        <is>
          <t>UT-EVT-E06</t>
        </is>
      </c>
      <c r="B49" s="12" t="inlineStr">
        <is>
          <t>EventService（イベントの登録・更新・削除・復元・一覧）</t>
        </is>
      </c>
      <c r="C49" s="12" t="inlineStr">
        <is>
          <t>異常系</t>
        </is>
      </c>
      <c r="D49" s="12" t="inlineStr">
        <is>
          <t>capacity未指定で区分を空にすると更新できない</t>
        </is>
      </c>
      <c r="E49" s="12" t="inlineStr">
        <is>
          <t>capacity未指定＋ticketTypes空配列</t>
        </is>
      </c>
      <c r="F49" s="12" t="inlineStr">
        <is>
          <t>update</t>
        </is>
      </c>
      <c r="G49" s="12" t="inlineStr">
        <is>
          <t>E-B-006</t>
        </is>
      </c>
      <c r="H49" s="12" t="inlineStr">
        <is>
          <t>-</t>
        </is>
      </c>
      <c r="I49" s="12" t="inlineStr">
        <is>
          <t>-</t>
        </is>
      </c>
      <c r="J49" s="12" t="inlineStr">
        <is>
          <t>AP-121</t>
        </is>
      </c>
      <c r="K49" s="12" t="inlineStr">
        <is>
          <t>自動</t>
        </is>
      </c>
      <c r="L49" s="12" t="inlineStr">
        <is>
          <t>update_異常系_capacity未指定で区分を空にすると更新できない</t>
        </is>
      </c>
      <c r="M49" s="12" t="inlineStr">
        <is>
          <t>OK</t>
        </is>
      </c>
      <c r="N49" s="23" t="n">
        <v>46302</v>
      </c>
      <c r="O49" s="12" t="inlineStr">
        <is>
          <t>佐々木（Claude Code）</t>
        </is>
      </c>
      <c r="P49" s="12" t="inlineStr">
        <is>
          <t>自動テスト成功</t>
        </is>
      </c>
      <c r="Q49" s="12" t="inlineStr">
        <is>
          <t>evidence/UT/UT_バックエンド_結果一覧_20261007.txt</t>
        </is>
      </c>
      <c r="R49" s="12" t="n"/>
      <c r="S49" s="12" t="n"/>
      <c r="T49" s="12" t="n"/>
    </row>
    <row r="50" ht="40.5" customHeight="1">
      <c r="A50" s="12" t="inlineStr">
        <is>
          <t>UT-EVT-E07</t>
        </is>
      </c>
      <c r="B50" s="12" t="inlineStr">
        <is>
          <t>EventService（イベントの登録・更新・削除・復元・一覧）</t>
        </is>
      </c>
      <c r="C50" s="12" t="inlineStr">
        <is>
          <t>異常系</t>
        </is>
      </c>
      <c r="D50" s="12" t="inlineStr">
        <is>
          <t>区分に申込が残っていれば変更できない</t>
        </is>
      </c>
      <c r="E50" s="12" t="inlineStr">
        <is>
          <t>既存の区分に、有効な申込が残っている</t>
        </is>
      </c>
      <c r="F50" s="12" t="inlineStr">
        <is>
          <t>update</t>
        </is>
      </c>
      <c r="G50" s="12" t="inlineStr">
        <is>
          <t>BusinessException「区分に申込があるため変更できません」（E-B-007）。既存の区分は削除されない</t>
        </is>
      </c>
      <c r="H50" s="12" t="inlineStr">
        <is>
          <t>-</t>
        </is>
      </c>
      <c r="I50" s="12" t="inlineStr">
        <is>
          <t>-</t>
        </is>
      </c>
      <c r="J50" s="12" t="inlineStr">
        <is>
          <t>R-09</t>
        </is>
      </c>
      <c r="K50" s="12" t="inlineStr">
        <is>
          <t>自動</t>
        </is>
      </c>
      <c r="L50" s="12" t="inlineStr">
        <is>
          <t>update_異常系_区分に申込が残っていれば変更できない</t>
        </is>
      </c>
      <c r="M50" s="12" t="inlineStr">
        <is>
          <t>OK</t>
        </is>
      </c>
      <c r="N50" s="23" t="n">
        <v>46302</v>
      </c>
      <c r="O50" s="12" t="inlineStr">
        <is>
          <t>佐々木（Claude Code）</t>
        </is>
      </c>
      <c r="P50" s="12" t="inlineStr">
        <is>
          <t>自動テスト成功</t>
        </is>
      </c>
      <c r="Q50" s="12" t="inlineStr">
        <is>
          <t>evidence/UT/UT_バックエンド_結果一覧_20261007.txt</t>
        </is>
      </c>
      <c r="R50" s="12" t="n"/>
      <c r="S50" s="12" t="n"/>
      <c r="T50" s="12" t="n"/>
    </row>
    <row r="51" ht="40.5" customHeight="1">
      <c r="A51" s="12" t="inlineStr">
        <is>
          <t>UT-EVT-E08</t>
        </is>
      </c>
      <c r="B51" s="12" t="inlineStr">
        <is>
          <t>EventService（イベントの登録・更新・削除・復元・一覧）</t>
        </is>
      </c>
      <c r="C51" s="12" t="inlineStr">
        <is>
          <t>異常系</t>
        </is>
      </c>
      <c r="D51" s="12" t="inlineStr">
        <is>
          <t>キャンセル済の申込が区分を参照していれば変更できない</t>
        </is>
      </c>
      <c r="E51" s="12" t="inlineStr">
        <is>
          <t>既存区分をキャンセル済の申込が参照している</t>
        </is>
      </c>
      <c r="F51" s="12" t="inlineStr">
        <is>
          <t>update</t>
        </is>
      </c>
      <c r="G51" s="12" t="inlineStr">
        <is>
          <t>BusinessException「区分に申込の履歴が残っているため変更できません」（E-B-017）</t>
        </is>
      </c>
      <c r="H51" s="12" t="inlineStr">
        <is>
          <t>-</t>
        </is>
      </c>
      <c r="I51" s="12" t="inlineStr">
        <is>
          <t>-</t>
        </is>
      </c>
      <c r="J51" s="12" t="inlineStr">
        <is>
          <t>32_処理詳細設計書 4章 AP-120／AP-121 No.8</t>
        </is>
      </c>
      <c r="K51" s="12" t="inlineStr">
        <is>
          <t>自動</t>
        </is>
      </c>
      <c r="L51" s="12" t="inlineStr">
        <is>
          <t>update_異常系_キャンセル済の申込が区分を参照していれば変更できない</t>
        </is>
      </c>
      <c r="M51" s="12" t="inlineStr">
        <is>
          <t>OK</t>
        </is>
      </c>
      <c r="N51" s="23" t="n">
        <v>46302</v>
      </c>
      <c r="O51" s="12" t="inlineStr">
        <is>
          <t>佐々木（Claude Code）</t>
        </is>
      </c>
      <c r="P51" s="12" t="inlineStr">
        <is>
          <t>自動テスト成功</t>
        </is>
      </c>
      <c r="Q51" s="12" t="inlineStr">
        <is>
          <t>evidence/UT/UT_バックエンド_結果一覧_20261007.txt</t>
        </is>
      </c>
      <c r="R51" s="12" t="n"/>
      <c r="S51" s="12" t="n"/>
      <c r="T51" s="12" t="n"/>
    </row>
    <row r="52" ht="40.5" customHeight="1">
      <c r="A52" s="12" t="inlineStr">
        <is>
          <t>UT-EVT-E09</t>
        </is>
      </c>
      <c r="B52" s="12" t="inlineStr">
        <is>
          <t>EventService（イベントの登録・更新・削除・復元・一覧）</t>
        </is>
      </c>
      <c r="C52" s="12" t="inlineStr">
        <is>
          <t>異常系</t>
        </is>
      </c>
      <c r="D52" s="12" t="inlineStr">
        <is>
          <t>区分の無いイベントでも申込が残っていれば区分を追加できない</t>
        </is>
      </c>
      <c r="E52" s="12" t="inlineStr">
        <is>
          <t>区分なしイベントに有効な申込があり、区分を追加</t>
        </is>
      </c>
      <c r="F52" s="12" t="inlineStr">
        <is>
          <t>update</t>
        </is>
      </c>
      <c r="G52" s="12" t="inlineStr">
        <is>
          <t>E-B-007</t>
        </is>
      </c>
      <c r="H52" s="12" t="inlineStr">
        <is>
          <t>-</t>
        </is>
      </c>
      <c r="I52" s="12" t="inlineStr">
        <is>
          <t>-</t>
        </is>
      </c>
      <c r="J52" s="12" t="inlineStr">
        <is>
          <t>10_要件定義書 7章「参加区分の変更」</t>
        </is>
      </c>
      <c r="K52" s="12" t="inlineStr">
        <is>
          <t>自動</t>
        </is>
      </c>
      <c r="L52" s="12" t="inlineStr">
        <is>
          <t>update_異常系_区分の無いイベントでも申込が残っていれば区分を追加できない</t>
        </is>
      </c>
      <c r="M52" s="12" t="inlineStr">
        <is>
          <t>OK</t>
        </is>
      </c>
      <c r="N52" s="23" t="n">
        <v>46302</v>
      </c>
      <c r="O52" s="12" t="inlineStr">
        <is>
          <t>佐々木（Claude Code）</t>
        </is>
      </c>
      <c r="P52" s="12" t="inlineStr">
        <is>
          <t>自動テスト成功</t>
        </is>
      </c>
      <c r="Q52" s="12" t="inlineStr">
        <is>
          <t>evidence/UT/UT_バックエンド_結果一覧_20261007.txt</t>
        </is>
      </c>
      <c r="R52" s="12" t="n"/>
      <c r="S52" s="12" t="n"/>
      <c r="T52" s="12" t="n"/>
    </row>
    <row r="53" ht="40.5" customHeight="1">
      <c r="A53" s="12" t="inlineStr">
        <is>
          <t>UT-EVT-E10</t>
        </is>
      </c>
      <c r="B53" s="12" t="inlineStr">
        <is>
          <t>EventService（イベントの登録・更新・削除・復元・一覧）</t>
        </is>
      </c>
      <c r="C53" s="12" t="inlineStr">
        <is>
          <t>異常系</t>
        </is>
      </c>
      <c r="D53" s="12" t="inlineStr">
        <is>
          <t>区分名が重複していれば変更できない</t>
        </is>
      </c>
      <c r="E53" s="12" t="inlineStr">
        <is>
          <t>区分名が重複</t>
        </is>
      </c>
      <c r="F53" s="12" t="inlineStr">
        <is>
          <t>update</t>
        </is>
      </c>
      <c r="G53" s="12" t="inlineStr">
        <is>
          <t>BusinessException「区分名が重複しています」（E-B-008）</t>
        </is>
      </c>
      <c r="H53" s="12" t="inlineStr">
        <is>
          <t>-</t>
        </is>
      </c>
      <c r="I53" s="12" t="inlineStr">
        <is>
          <t>-</t>
        </is>
      </c>
      <c r="J53" s="12" t="inlineStr">
        <is>
          <t>R-10</t>
        </is>
      </c>
      <c r="K53" s="12" t="inlineStr">
        <is>
          <t>自動</t>
        </is>
      </c>
      <c r="L53" s="12" t="inlineStr">
        <is>
          <t>update_異常系_区分名が重複していれば変更できない</t>
        </is>
      </c>
      <c r="M53" s="12" t="inlineStr">
        <is>
          <t>OK</t>
        </is>
      </c>
      <c r="N53" s="23" t="n">
        <v>46302</v>
      </c>
      <c r="O53" s="12" t="inlineStr">
        <is>
          <t>佐々木（Claude Code）</t>
        </is>
      </c>
      <c r="P53" s="12" t="inlineStr">
        <is>
          <t>自動テスト成功</t>
        </is>
      </c>
      <c r="Q53" s="12" t="inlineStr">
        <is>
          <t>evidence/UT/UT_バックエンド_結果一覧_20261007.txt</t>
        </is>
      </c>
      <c r="R53" s="12" t="n"/>
      <c r="S53" s="12" t="n"/>
      <c r="T53" s="12" t="n"/>
    </row>
    <row r="54" ht="40.5" customHeight="1">
      <c r="A54" s="12" t="inlineStr">
        <is>
          <t>UT-CMT-N01</t>
        </is>
      </c>
      <c r="B54" s="12" t="inlineStr">
        <is>
          <t>EventCommentService（コメントの投稿・返信・削除）</t>
        </is>
      </c>
      <c r="C54" s="12" t="inlineStr">
        <is>
          <t>正常系</t>
        </is>
      </c>
      <c r="D54" s="12" t="inlineStr">
        <is>
          <t>本人の投稿はmineがtrue</t>
        </is>
      </c>
      <c r="E54" s="12" t="inlineStr">
        <is>
          <t>本人の投稿</t>
        </is>
      </c>
      <c r="F54" s="12" t="inlineStr">
        <is>
          <t>list</t>
        </is>
      </c>
      <c r="G54" s="12" t="inlineStr">
        <is>
          <t>mine=true</t>
        </is>
      </c>
      <c r="H54" s="12" t="inlineStr">
        <is>
          <t>-</t>
        </is>
      </c>
      <c r="I54" s="12" t="inlineStr">
        <is>
          <t>-</t>
        </is>
      </c>
      <c r="J54" s="12" t="inlineStr">
        <is>
          <t>AP-050</t>
        </is>
      </c>
      <c r="K54" s="12" t="inlineStr">
        <is>
          <t>自動</t>
        </is>
      </c>
      <c r="L54" s="12" t="inlineStr">
        <is>
          <t>list_正常系_本人の投稿はmineがtrue</t>
        </is>
      </c>
      <c r="M54" s="12" t="inlineStr">
        <is>
          <t>OK</t>
        </is>
      </c>
      <c r="N54" s="23" t="n">
        <v>46302</v>
      </c>
      <c r="O54" s="12" t="inlineStr">
        <is>
          <t>佐々木（Claude Code）</t>
        </is>
      </c>
      <c r="P54" s="12" t="inlineStr">
        <is>
          <t>自動テスト成功</t>
        </is>
      </c>
      <c r="Q54" s="12" t="inlineStr">
        <is>
          <t>evidence/UT/UT_バックエンド_結果一覧_20261007.txt</t>
        </is>
      </c>
      <c r="R54" s="12" t="n"/>
      <c r="S54" s="12" t="n"/>
      <c r="T54" s="12" t="n"/>
    </row>
    <row r="55" ht="40.5" customHeight="1">
      <c r="A55" s="12" t="inlineStr">
        <is>
          <t>UT-CMT-N02</t>
        </is>
      </c>
      <c r="B55" s="12" t="inlineStr">
        <is>
          <t>EventCommentService（コメントの投稿・返信・削除）</t>
        </is>
      </c>
      <c r="C55" s="12" t="inlineStr">
        <is>
          <t>正常系</t>
        </is>
      </c>
      <c r="D55" s="12" t="inlineStr">
        <is>
          <t>他人の投稿はmineがfalse</t>
        </is>
      </c>
      <c r="E55" s="12" t="inlineStr">
        <is>
          <t>他人の投稿</t>
        </is>
      </c>
      <c r="F55" s="12" t="inlineStr">
        <is>
          <t>list</t>
        </is>
      </c>
      <c r="G55" s="12" t="inlineStr">
        <is>
          <t>mine=false</t>
        </is>
      </c>
      <c r="H55" s="12" t="inlineStr">
        <is>
          <t>-</t>
        </is>
      </c>
      <c r="I55" s="12" t="inlineStr">
        <is>
          <t>-</t>
        </is>
      </c>
      <c r="J55" s="12" t="inlineStr">
        <is>
          <t>AP-050</t>
        </is>
      </c>
      <c r="K55" s="12" t="inlineStr">
        <is>
          <t>自動</t>
        </is>
      </c>
      <c r="L55" s="12" t="inlineStr">
        <is>
          <t>list_正常系_他人の投稿はmineがfalse</t>
        </is>
      </c>
      <c r="M55" s="12" t="inlineStr">
        <is>
          <t>OK</t>
        </is>
      </c>
      <c r="N55" s="23" t="n">
        <v>46302</v>
      </c>
      <c r="O55" s="12" t="inlineStr">
        <is>
          <t>佐々木（Claude Code）</t>
        </is>
      </c>
      <c r="P55" s="12" t="inlineStr">
        <is>
          <t>自動テスト成功</t>
        </is>
      </c>
      <c r="Q55" s="12" t="inlineStr">
        <is>
          <t>evidence/UT/UT_バックエンド_結果一覧_20261007.txt</t>
        </is>
      </c>
      <c r="R55" s="12" t="n"/>
      <c r="S55" s="12" t="n"/>
      <c r="T55" s="12" t="n"/>
    </row>
    <row r="56" ht="40.5" customHeight="1">
      <c r="A56" s="12" t="inlineStr">
        <is>
          <t>UT-CMT-N03</t>
        </is>
      </c>
      <c r="B56" s="12" t="inlineStr">
        <is>
          <t>EventCommentService（コメントの投稿・返信・削除）</t>
        </is>
      </c>
      <c r="C56" s="12" t="inlineStr">
        <is>
          <t>正常系</t>
        </is>
      </c>
      <c r="D56" s="12" t="inlineStr">
        <is>
          <t>論理削除されたコメントは本文が固定文言になる</t>
        </is>
      </c>
      <c r="E56" s="12" t="inlineStr">
        <is>
          <t>論理削除済みのコメント</t>
        </is>
      </c>
      <c r="F56" s="12" t="inlineStr">
        <is>
          <t>list</t>
        </is>
      </c>
      <c r="G56" s="12" t="inlineStr">
        <is>
          <t>deleted=true、body「このコメントは削除されました」、投稿者名はそのまま</t>
        </is>
      </c>
      <c r="H56" s="12" t="inlineStr">
        <is>
          <t>-</t>
        </is>
      </c>
      <c r="I56" s="12" t="inlineStr">
        <is>
          <t>-</t>
        </is>
      </c>
      <c r="J56" s="12" t="inlineStr">
        <is>
          <t>AP-050</t>
        </is>
      </c>
      <c r="K56" s="12" t="inlineStr">
        <is>
          <t>自動</t>
        </is>
      </c>
      <c r="L56" s="12" t="inlineStr">
        <is>
          <t>list_正常系_論理削除されたコメントは本文が固定文言になる</t>
        </is>
      </c>
      <c r="M56" s="12" t="inlineStr">
        <is>
          <t>OK</t>
        </is>
      </c>
      <c r="N56" s="23" t="n">
        <v>46302</v>
      </c>
      <c r="O56" s="12" t="inlineStr">
        <is>
          <t>佐々木（Claude Code）</t>
        </is>
      </c>
      <c r="P56" s="12" t="inlineStr">
        <is>
          <t>自動テスト成功</t>
        </is>
      </c>
      <c r="Q56" s="12" t="inlineStr">
        <is>
          <t>evidence/UT/UT_バックエンド_結果一覧_20261007.txt</t>
        </is>
      </c>
      <c r="R56" s="12" t="n"/>
      <c r="S56" s="12" t="n"/>
      <c r="T56" s="12" t="n"/>
    </row>
    <row r="57" ht="40.5" customHeight="1">
      <c r="A57" s="12" t="inlineStr">
        <is>
          <t>UT-CMT-N04</t>
        </is>
      </c>
      <c r="B57" s="12" t="inlineStr">
        <is>
          <t>EventCommentService（コメントの投稿・返信・削除）</t>
        </is>
      </c>
      <c r="C57" s="12" t="inlineStr">
        <is>
          <t>正常系</t>
        </is>
      </c>
      <c r="D57" s="12" t="inlineStr">
        <is>
          <t>返信のparentCommentIdが親コメントのIDになる</t>
        </is>
      </c>
      <c r="E57" s="12" t="inlineStr">
        <is>
          <t>返信</t>
        </is>
      </c>
      <c r="F57" s="12" t="inlineStr">
        <is>
          <t>list</t>
        </is>
      </c>
      <c r="G57" s="12" t="inlineStr">
        <is>
          <t>parentCommentIdが親コメントのID</t>
        </is>
      </c>
      <c r="H57" s="12" t="inlineStr">
        <is>
          <t>-</t>
        </is>
      </c>
      <c r="I57" s="12" t="inlineStr">
        <is>
          <t>-</t>
        </is>
      </c>
      <c r="J57" s="12" t="inlineStr">
        <is>
          <t>AP-050</t>
        </is>
      </c>
      <c r="K57" s="12" t="inlineStr">
        <is>
          <t>自動</t>
        </is>
      </c>
      <c r="L57" s="12" t="inlineStr">
        <is>
          <t>list_正常系_返信のparentCommentIdが親コメントのIDになる</t>
        </is>
      </c>
      <c r="M57" s="12" t="inlineStr">
        <is>
          <t>OK</t>
        </is>
      </c>
      <c r="N57" s="23" t="n">
        <v>46302</v>
      </c>
      <c r="O57" s="12" t="inlineStr">
        <is>
          <t>佐々木（Claude Code）</t>
        </is>
      </c>
      <c r="P57" s="12" t="inlineStr">
        <is>
          <t>自動テスト成功</t>
        </is>
      </c>
      <c r="Q57" s="12" t="inlineStr">
        <is>
          <t>evidence/UT/UT_バックエンド_結果一覧_20261007.txt</t>
        </is>
      </c>
      <c r="R57" s="12" t="n"/>
      <c r="S57" s="12" t="n"/>
      <c r="T57" s="12" t="n"/>
    </row>
    <row r="58" ht="40.5" customHeight="1">
      <c r="A58" s="12" t="inlineStr">
        <is>
          <t>UT-CMT-N05</t>
        </is>
      </c>
      <c r="B58" s="12" t="inlineStr">
        <is>
          <t>EventCommentService（コメントの投稿・返信・削除）</t>
        </is>
      </c>
      <c r="C58" s="12" t="inlineStr">
        <is>
          <t>正常系</t>
        </is>
      </c>
      <c r="D58" s="12" t="inlineStr">
        <is>
          <t>保存されmineがtrueで返る</t>
        </is>
      </c>
      <c r="E58" s="12" t="inlineStr">
        <is>
          <t>返信先なし</t>
        </is>
      </c>
      <c r="F58" s="12" t="inlineStr">
        <is>
          <t>post</t>
        </is>
      </c>
      <c r="G58" s="12" t="inlineStr">
        <is>
          <t>保存され、mine=trueで返る</t>
        </is>
      </c>
      <c r="H58" s="12" t="inlineStr">
        <is>
          <t>-</t>
        </is>
      </c>
      <c r="I58" s="12" t="inlineStr">
        <is>
          <t>-</t>
        </is>
      </c>
      <c r="J58" s="12" t="inlineStr">
        <is>
          <t>F-031</t>
        </is>
      </c>
      <c r="K58" s="12" t="inlineStr">
        <is>
          <t>自動</t>
        </is>
      </c>
      <c r="L58" s="12" t="inlineStr">
        <is>
          <t>post_正常系_保存されmineがtrueで返る</t>
        </is>
      </c>
      <c r="M58" s="12" t="inlineStr">
        <is>
          <t>OK</t>
        </is>
      </c>
      <c r="N58" s="23" t="n">
        <v>46302</v>
      </c>
      <c r="O58" s="12" t="inlineStr">
        <is>
          <t>佐々木（Claude Code）</t>
        </is>
      </c>
      <c r="P58" s="12" t="inlineStr">
        <is>
          <t>自動テスト成功</t>
        </is>
      </c>
      <c r="Q58" s="12" t="inlineStr">
        <is>
          <t>evidence/UT/UT_バックエンド_結果一覧_20261007.txt</t>
        </is>
      </c>
      <c r="R58" s="12" t="n"/>
      <c r="S58" s="12" t="n"/>
      <c r="T58" s="12" t="n"/>
    </row>
    <row r="59" ht="40.5" customHeight="1">
      <c r="A59" s="12" t="inlineStr">
        <is>
          <t>UT-CMT-N06</t>
        </is>
      </c>
      <c r="B59" s="12" t="inlineStr">
        <is>
          <t>EventCommentService（コメントの投稿・返信・削除）</t>
        </is>
      </c>
      <c r="C59" s="12" t="inlineStr">
        <is>
          <t>正常系</t>
        </is>
      </c>
      <c r="D59" s="12" t="inlineStr">
        <is>
          <t>返信先を指定すると返信として保存される</t>
        </is>
      </c>
      <c r="E59" s="12" t="inlineStr">
        <is>
          <t>返信先を指定</t>
        </is>
      </c>
      <c r="F59" s="12" t="inlineStr">
        <is>
          <t>post</t>
        </is>
      </c>
      <c r="G59" s="12" t="inlineStr">
        <is>
          <t>返信先に紐づいて保存される</t>
        </is>
      </c>
      <c r="H59" s="12" t="inlineStr">
        <is>
          <t>-</t>
        </is>
      </c>
      <c r="I59" s="12" t="inlineStr">
        <is>
          <t>-</t>
        </is>
      </c>
      <c r="J59" s="12" t="inlineStr">
        <is>
          <t>F-031</t>
        </is>
      </c>
      <c r="K59" s="12" t="inlineStr">
        <is>
          <t>自動</t>
        </is>
      </c>
      <c r="L59" s="12" t="inlineStr">
        <is>
          <t>post_正常系_返信先を指定すると返信として保存される</t>
        </is>
      </c>
      <c r="M59" s="12" t="inlineStr">
        <is>
          <t>OK</t>
        </is>
      </c>
      <c r="N59" s="23" t="n">
        <v>46302</v>
      </c>
      <c r="O59" s="12" t="inlineStr">
        <is>
          <t>佐々木（Claude Code）</t>
        </is>
      </c>
      <c r="P59" s="12" t="inlineStr">
        <is>
          <t>自動テスト成功</t>
        </is>
      </c>
      <c r="Q59" s="12" t="inlineStr">
        <is>
          <t>evidence/UT/UT_バックエンド_結果一覧_20261007.txt</t>
        </is>
      </c>
      <c r="R59" s="12" t="n"/>
      <c r="S59" s="12" t="n"/>
      <c r="T59" s="12" t="n"/>
    </row>
    <row r="60" ht="40.5" customHeight="1">
      <c r="A60" s="12" t="inlineStr">
        <is>
          <t>UT-CMT-N07</t>
        </is>
      </c>
      <c r="B60" s="12" t="inlineStr">
        <is>
          <t>EventCommentService（コメントの投稿・返信・削除）</t>
        </is>
      </c>
      <c r="C60" s="12" t="inlineStr">
        <is>
          <t>正常系</t>
        </is>
      </c>
      <c r="D60" s="12" t="inlineStr">
        <is>
          <t>論理削除済みのコメントにも返信できる</t>
        </is>
      </c>
      <c r="E60" s="12" t="inlineStr">
        <is>
          <t>返信先が論理削除済み</t>
        </is>
      </c>
      <c r="F60" s="12" t="inlineStr">
        <is>
          <t>post</t>
        </is>
      </c>
      <c r="G60" s="12" t="inlineStr">
        <is>
          <t>返信として保存される</t>
        </is>
      </c>
      <c r="H60" s="12" t="inlineStr">
        <is>
          <t>-</t>
        </is>
      </c>
      <c r="I60" s="12" t="inlineStr">
        <is>
          <t>-</t>
        </is>
      </c>
      <c r="J60" s="12" t="inlineStr">
        <is>
          <t>10_要件定義書 7章「コメントの返信」</t>
        </is>
      </c>
      <c r="K60" s="12" t="inlineStr">
        <is>
          <t>自動</t>
        </is>
      </c>
      <c r="L60" s="12" t="inlineStr">
        <is>
          <t>post_正常系_論理削除済みのコメントにも返信できる</t>
        </is>
      </c>
      <c r="M60" s="12" t="inlineStr">
        <is>
          <t>OK</t>
        </is>
      </c>
      <c r="N60" s="23" t="n">
        <v>46302</v>
      </c>
      <c r="O60" s="12" t="inlineStr">
        <is>
          <t>佐々木（Claude Code）</t>
        </is>
      </c>
      <c r="P60" s="12" t="inlineStr">
        <is>
          <t>自動テスト成功</t>
        </is>
      </c>
      <c r="Q60" s="12" t="inlineStr">
        <is>
          <t>evidence/UT/UT_バックエンド_結果一覧_20261007.txt</t>
        </is>
      </c>
      <c r="R60" s="12" t="n"/>
      <c r="S60" s="12" t="n"/>
      <c r="T60" s="12" t="n"/>
    </row>
    <row r="61" ht="40.5" customHeight="1">
      <c r="A61" s="12" t="inlineStr">
        <is>
          <t>UT-CMT-N08</t>
        </is>
      </c>
      <c r="B61" s="12" t="inlineStr">
        <is>
          <t>EventCommentService（コメントの投稿・返信・削除）</t>
        </is>
      </c>
      <c r="C61" s="12" t="inlineStr">
        <is>
          <t>正常系</t>
        </is>
      </c>
      <c r="D61" s="12" t="inlineStr">
        <is>
          <t>投稿者本人は削除できる</t>
        </is>
      </c>
      <c r="E61" s="12" t="inlineStr">
        <is>
          <t>投稿者本人、返信なし</t>
        </is>
      </c>
      <c r="F61" s="12" t="inlineStr">
        <is>
          <t>delete</t>
        </is>
      </c>
      <c r="G61" s="12" t="inlineStr">
        <is>
          <t>物理削除される</t>
        </is>
      </c>
      <c r="H61" s="12" t="inlineStr">
        <is>
          <t>-</t>
        </is>
      </c>
      <c r="I61" s="12" t="inlineStr">
        <is>
          <t>-</t>
        </is>
      </c>
      <c r="J61" s="12" t="inlineStr">
        <is>
          <t>R-13, R-14</t>
        </is>
      </c>
      <c r="K61" s="12" t="inlineStr">
        <is>
          <t>自動</t>
        </is>
      </c>
      <c r="L61" s="12" t="inlineStr">
        <is>
          <t>delete_正常系_投稿者本人は削除できる</t>
        </is>
      </c>
      <c r="M61" s="12" t="inlineStr">
        <is>
          <t>OK</t>
        </is>
      </c>
      <c r="N61" s="23" t="n">
        <v>46302</v>
      </c>
      <c r="O61" s="12" t="inlineStr">
        <is>
          <t>佐々木（Claude Code）</t>
        </is>
      </c>
      <c r="P61" s="12" t="inlineStr">
        <is>
          <t>自動テスト成功</t>
        </is>
      </c>
      <c r="Q61" s="12" t="inlineStr">
        <is>
          <t>evidence/UT/UT_バックエンド_結果一覧_20261007.txt</t>
        </is>
      </c>
      <c r="R61" s="12" t="n"/>
      <c r="S61" s="12" t="n"/>
      <c r="T61" s="12" t="n"/>
    </row>
    <row r="62" ht="40.5" customHeight="1">
      <c r="A62" s="12" t="inlineStr">
        <is>
          <t>UT-CMT-N09</t>
        </is>
      </c>
      <c r="B62" s="12" t="inlineStr">
        <is>
          <t>EventCommentService（コメントの投稿・返信・削除）</t>
        </is>
      </c>
      <c r="C62" s="12" t="inlineStr">
        <is>
          <t>正常系</t>
        </is>
      </c>
      <c r="D62" s="12" t="inlineStr">
        <is>
          <t>管理者は他人のコメントも削除できる</t>
        </is>
      </c>
      <c r="E62" s="12" t="inlineStr">
        <is>
          <t>管理者が他人のコメントを削除</t>
        </is>
      </c>
      <c r="F62" s="12" t="inlineStr">
        <is>
          <t>delete</t>
        </is>
      </c>
      <c r="G62" s="12" t="inlineStr">
        <is>
          <t>削除できる</t>
        </is>
      </c>
      <c r="H62" s="12" t="inlineStr">
        <is>
          <t>-</t>
        </is>
      </c>
      <c r="I62" s="12" t="inlineStr">
        <is>
          <t>-</t>
        </is>
      </c>
      <c r="J62" s="12" t="inlineStr">
        <is>
          <t>R-13</t>
        </is>
      </c>
      <c r="K62" s="12" t="inlineStr">
        <is>
          <t>自動</t>
        </is>
      </c>
      <c r="L62" s="12" t="inlineStr">
        <is>
          <t>delete_正常系_管理者は他人のコメントも削除できる</t>
        </is>
      </c>
      <c r="M62" s="12" t="inlineStr">
        <is>
          <t>OK</t>
        </is>
      </c>
      <c r="N62" s="23" t="n">
        <v>46302</v>
      </c>
      <c r="O62" s="12" t="inlineStr">
        <is>
          <t>佐々木（Claude Code）</t>
        </is>
      </c>
      <c r="P62" s="12" t="inlineStr">
        <is>
          <t>自動テスト成功</t>
        </is>
      </c>
      <c r="Q62" s="12" t="inlineStr">
        <is>
          <t>evidence/UT/UT_バックエンド_結果一覧_20261007.txt</t>
        </is>
      </c>
      <c r="R62" s="12" t="n"/>
      <c r="S62" s="12" t="n"/>
      <c r="T62" s="12" t="n"/>
    </row>
    <row r="63" ht="40.5" customHeight="1">
      <c r="A63" s="12" t="inlineStr">
        <is>
          <t>UT-CMT-N10</t>
        </is>
      </c>
      <c r="B63" s="12" t="inlineStr">
        <is>
          <t>EventCommentService（コメントの投稿・返信・削除）</t>
        </is>
      </c>
      <c r="C63" s="12" t="inlineStr">
        <is>
          <t>正常系</t>
        </is>
      </c>
      <c r="D63" s="12" t="inlineStr">
        <is>
          <t>返信があるコメントは物理削除せず論理削除する</t>
        </is>
      </c>
      <c r="E63" s="12" t="inlineStr">
        <is>
          <t>返信が1件以上ある</t>
        </is>
      </c>
      <c r="F63" s="12" t="inlineStr">
        <is>
          <t>delete</t>
        </is>
      </c>
      <c r="G63" s="12" t="inlineStr">
        <is>
          <t>物理削除せず削除日時を設定する</t>
        </is>
      </c>
      <c r="H63" s="12" t="inlineStr">
        <is>
          <t>-</t>
        </is>
      </c>
      <c r="I63" s="12" t="inlineStr">
        <is>
          <t>-</t>
        </is>
      </c>
      <c r="J63" s="12" t="inlineStr">
        <is>
          <t>R-14</t>
        </is>
      </c>
      <c r="K63" s="12" t="inlineStr">
        <is>
          <t>自動</t>
        </is>
      </c>
      <c r="L63" s="12" t="inlineStr">
        <is>
          <t>delete_正常系_返信があるコメントは物理削除せず論理削除する</t>
        </is>
      </c>
      <c r="M63" s="12" t="inlineStr">
        <is>
          <t>OK</t>
        </is>
      </c>
      <c r="N63" s="23" t="n">
        <v>46302</v>
      </c>
      <c r="O63" s="12" t="inlineStr">
        <is>
          <t>佐々木（Claude Code）</t>
        </is>
      </c>
      <c r="P63" s="12" t="inlineStr">
        <is>
          <t>自動テスト成功</t>
        </is>
      </c>
      <c r="Q63" s="12" t="inlineStr">
        <is>
          <t>evidence/UT/UT_バックエンド_結果一覧_20261007.txt</t>
        </is>
      </c>
      <c r="R63" s="12" t="n"/>
      <c r="S63" s="12" t="n"/>
      <c r="T63" s="12" t="n"/>
    </row>
    <row r="64" ht="40.5" customHeight="1">
      <c r="A64" s="12" t="inlineStr">
        <is>
          <t>UT-CMT-N11</t>
        </is>
      </c>
      <c r="B64" s="12" t="inlineStr">
        <is>
          <t>EventCommentService（コメントの投稿・返信・削除）</t>
        </is>
      </c>
      <c r="C64" s="12" t="inlineStr">
        <is>
          <t>正常系</t>
        </is>
      </c>
      <c r="D64" s="12" t="inlineStr">
        <is>
          <t>リポジトリの件数を返す</t>
        </is>
      </c>
      <c r="E64" s="12" t="inlineStr">
        <is>
          <t>-</t>
        </is>
      </c>
      <c r="F64" s="12" t="inlineStr">
        <is>
          <t>countActive</t>
        </is>
      </c>
      <c r="G64" s="12" t="inlineStr">
        <is>
          <t>論理削除済みを除いた件数を返す</t>
        </is>
      </c>
      <c r="H64" s="12" t="inlineStr">
        <is>
          <t>-</t>
        </is>
      </c>
      <c r="I64" s="12" t="inlineStr">
        <is>
          <t>-</t>
        </is>
      </c>
      <c r="J64" s="12" t="inlineStr">
        <is>
          <t>AP-132</t>
        </is>
      </c>
      <c r="K64" s="12" t="inlineStr">
        <is>
          <t>自動</t>
        </is>
      </c>
      <c r="L64" s="12" t="inlineStr">
        <is>
          <t>countActive_正常系_リポジトリの件数を返す</t>
        </is>
      </c>
      <c r="M64" s="12" t="inlineStr">
        <is>
          <t>OK</t>
        </is>
      </c>
      <c r="N64" s="23" t="n">
        <v>46302</v>
      </c>
      <c r="O64" s="12" t="inlineStr">
        <is>
          <t>佐々木（Claude Code）</t>
        </is>
      </c>
      <c r="P64" s="12" t="inlineStr">
        <is>
          <t>自動テスト成功</t>
        </is>
      </c>
      <c r="Q64" s="12" t="inlineStr">
        <is>
          <t>evidence/UT/UT_バックエンド_結果一覧_20261007.txt</t>
        </is>
      </c>
      <c r="R64" s="12" t="n"/>
      <c r="S64" s="12" t="n"/>
      <c r="T64" s="12" t="n"/>
    </row>
    <row r="65" ht="40.5" customHeight="1">
      <c r="A65" s="12" t="inlineStr">
        <is>
          <t>UT-CMT-N12</t>
        </is>
      </c>
      <c r="B65" s="12" t="inlineStr">
        <is>
          <t>EventCommentService（コメントの投稿・返信・削除）</t>
        </is>
      </c>
      <c r="C65" s="12" t="inlineStr">
        <is>
          <t>正常系</t>
        </is>
      </c>
      <c r="D65" s="12" t="inlineStr">
        <is>
          <t>イベント名を含めて返す</t>
        </is>
      </c>
      <c r="E65" s="12" t="inlineStr">
        <is>
          <t>利用者の投稿が複数</t>
        </is>
      </c>
      <c r="F65" s="12" t="inlineStr">
        <is>
          <t>listByUser</t>
        </is>
      </c>
      <c r="G65" s="12" t="inlineStr">
        <is>
          <t>イベント名を含めて投稿日時降順で返す</t>
        </is>
      </c>
      <c r="H65" s="12" t="inlineStr">
        <is>
          <t>-</t>
        </is>
      </c>
      <c r="I65" s="12" t="inlineStr">
        <is>
          <t>-</t>
        </is>
      </c>
      <c r="J65" s="12" t="inlineStr">
        <is>
          <t>AP-144</t>
        </is>
      </c>
      <c r="K65" s="12" t="inlineStr">
        <is>
          <t>自動</t>
        </is>
      </c>
      <c r="L65" s="12" t="inlineStr">
        <is>
          <t>listByUser_正常系_イベント名を含めて返す</t>
        </is>
      </c>
      <c r="M65" s="12" t="inlineStr">
        <is>
          <t>OK</t>
        </is>
      </c>
      <c r="N65" s="23" t="n">
        <v>46302</v>
      </c>
      <c r="O65" s="12" t="inlineStr">
        <is>
          <t>佐々木（Claude Code）</t>
        </is>
      </c>
      <c r="P65" s="12" t="inlineStr">
        <is>
          <t>自動テスト成功</t>
        </is>
      </c>
      <c r="Q65" s="12" t="inlineStr">
        <is>
          <t>evidence/UT/UT_バックエンド_結果一覧_20261007.txt</t>
        </is>
      </c>
      <c r="R65" s="12" t="n"/>
      <c r="S65" s="12" t="n"/>
      <c r="T65" s="12" t="n"/>
    </row>
    <row r="66" ht="40.5" customHeight="1">
      <c r="A66" s="12" t="inlineStr">
        <is>
          <t>UT-CMT-N13</t>
        </is>
      </c>
      <c r="B66" s="12" t="inlineStr">
        <is>
          <t>EventCommentService（コメントの投稿・返信・削除）</t>
        </is>
      </c>
      <c r="C66" s="12" t="inlineStr">
        <is>
          <t>正常系</t>
        </is>
      </c>
      <c r="D66" s="12" t="inlineStr">
        <is>
          <t>論理削除済みも本文が固定文言で含まれる</t>
        </is>
      </c>
      <c r="E66" s="12" t="inlineStr">
        <is>
          <t>論理削除済みを含む</t>
        </is>
      </c>
      <c r="F66" s="12" t="inlineStr">
        <is>
          <t>listByUser</t>
        </is>
      </c>
      <c r="G66" s="12" t="inlineStr">
        <is>
          <t>削除済みも固定文言で含まれる</t>
        </is>
      </c>
      <c r="H66" s="12" t="inlineStr">
        <is>
          <t>-</t>
        </is>
      </c>
      <c r="I66" s="12" t="inlineStr">
        <is>
          <t>-</t>
        </is>
      </c>
      <c r="J66" s="12" t="inlineStr">
        <is>
          <t>AP-144</t>
        </is>
      </c>
      <c r="K66" s="12" t="inlineStr">
        <is>
          <t>自動</t>
        </is>
      </c>
      <c r="L66" s="12" t="inlineStr">
        <is>
          <t>listByUser_正常系_論理削除済みも本文が固定文言で含まれる</t>
        </is>
      </c>
      <c r="M66" s="12" t="inlineStr">
        <is>
          <t>OK</t>
        </is>
      </c>
      <c r="N66" s="23" t="n">
        <v>46302</v>
      </c>
      <c r="O66" s="12" t="inlineStr">
        <is>
          <t>佐々木（Claude Code）</t>
        </is>
      </c>
      <c r="P66" s="12" t="inlineStr">
        <is>
          <t>自動テスト成功</t>
        </is>
      </c>
      <c r="Q66" s="12" t="inlineStr">
        <is>
          <t>evidence/UT/UT_バックエンド_結果一覧_20261007.txt</t>
        </is>
      </c>
      <c r="R66" s="12" t="n"/>
      <c r="S66" s="12" t="n"/>
      <c r="T66" s="12" t="n"/>
    </row>
    <row r="67" ht="40.5" customHeight="1">
      <c r="A67" s="12" t="inlineStr">
        <is>
          <t>UT-CMT-N14</t>
        </is>
      </c>
      <c r="B67" s="12" t="inlineStr">
        <is>
          <t>EventCommentService（コメントの投稿・返信・削除）</t>
        </is>
      </c>
      <c r="C67" s="12" t="inlineStr">
        <is>
          <t>正常系</t>
        </is>
      </c>
      <c r="D67" s="12" t="inlineStr">
        <is>
          <t>イベント名と投稿者名を含めて返す</t>
        </is>
      </c>
      <c r="E67" s="12" t="inlineStr">
        <is>
          <t>-</t>
        </is>
      </c>
      <c r="F67" s="12" t="inlineStr">
        <is>
          <t>listAllActive</t>
        </is>
      </c>
      <c r="G67" s="12" t="inlineStr">
        <is>
          <t>イベント名・投稿者名を含み、有効なコメントのみ返す</t>
        </is>
      </c>
      <c r="H67" s="12" t="inlineStr">
        <is>
          <t>-</t>
        </is>
      </c>
      <c r="I67" s="12" t="inlineStr">
        <is>
          <t>-</t>
        </is>
      </c>
      <c r="J67" s="12" t="inlineStr">
        <is>
          <t>AP-150</t>
        </is>
      </c>
      <c r="K67" s="12" t="inlineStr">
        <is>
          <t>自動</t>
        </is>
      </c>
      <c r="L67" s="12" t="inlineStr">
        <is>
          <t>listAllActive_正常系_イベント名と投稿者名を含めて返す</t>
        </is>
      </c>
      <c r="M67" s="12" t="inlineStr">
        <is>
          <t>OK</t>
        </is>
      </c>
      <c r="N67" s="23" t="n">
        <v>46302</v>
      </c>
      <c r="O67" s="12" t="inlineStr">
        <is>
          <t>佐々木（Claude Code）</t>
        </is>
      </c>
      <c r="P67" s="12" t="inlineStr">
        <is>
          <t>自動テスト成功</t>
        </is>
      </c>
      <c r="Q67" s="12" t="inlineStr">
        <is>
          <t>evidence/UT/UT_バックエンド_結果一覧_20261007.txt</t>
        </is>
      </c>
      <c r="R67" s="12" t="n"/>
      <c r="S67" s="12" t="n"/>
      <c r="T67" s="12" t="n"/>
    </row>
    <row r="68" ht="40.5" customHeight="1">
      <c r="A68" s="12" t="inlineStr">
        <is>
          <t>UT-CMT-E01</t>
        </is>
      </c>
      <c r="B68" s="12" t="inlineStr">
        <is>
          <t>EventCommentService（コメントの投稿・返信・削除）</t>
        </is>
      </c>
      <c r="C68" s="12" t="inlineStr">
        <is>
          <t>異常系</t>
        </is>
      </c>
      <c r="D68" s="12" t="inlineStr">
        <is>
          <t>イベントが存在しなければNotFoundException</t>
        </is>
      </c>
      <c r="E68" s="12" t="inlineStr">
        <is>
          <t>イベントが存在しない</t>
        </is>
      </c>
      <c r="F68" s="12" t="inlineStr">
        <is>
          <t>list</t>
        </is>
      </c>
      <c r="G68" s="12" t="inlineStr">
        <is>
          <t>E-B-001</t>
        </is>
      </c>
      <c r="H68" s="12" t="inlineStr">
        <is>
          <t>-</t>
        </is>
      </c>
      <c r="I68" s="12" t="inlineStr">
        <is>
          <t>-</t>
        </is>
      </c>
      <c r="J68" s="12" t="inlineStr">
        <is>
          <t>AP-050</t>
        </is>
      </c>
      <c r="K68" s="12" t="inlineStr">
        <is>
          <t>自動</t>
        </is>
      </c>
      <c r="L68" s="12" t="inlineStr">
        <is>
          <t>list_異常系_イベントが存在しなければNotFoundException</t>
        </is>
      </c>
      <c r="M68" s="12" t="inlineStr">
        <is>
          <t>OK</t>
        </is>
      </c>
      <c r="N68" s="23" t="n">
        <v>46302</v>
      </c>
      <c r="O68" s="12" t="inlineStr">
        <is>
          <t>佐々木（Claude Code）</t>
        </is>
      </c>
      <c r="P68" s="12" t="inlineStr">
        <is>
          <t>自動テスト成功</t>
        </is>
      </c>
      <c r="Q68" s="12" t="inlineStr">
        <is>
          <t>evidence/UT/UT_バックエンド_結果一覧_20261007.txt</t>
        </is>
      </c>
      <c r="R68" s="12" t="n"/>
      <c r="S68" s="12" t="n"/>
      <c r="T68" s="12" t="n"/>
    </row>
    <row r="69" ht="40.5" customHeight="1">
      <c r="A69" s="12" t="inlineStr">
        <is>
          <t>UT-CMT-E02</t>
        </is>
      </c>
      <c r="B69" s="12" t="inlineStr">
        <is>
          <t>EventCommentService（コメントの投稿・返信・削除）</t>
        </is>
      </c>
      <c r="C69" s="12" t="inlineStr">
        <is>
          <t>異常系</t>
        </is>
      </c>
      <c r="D69" s="12" t="inlineStr">
        <is>
          <t>イベントが存在しなければNotFoundException</t>
        </is>
      </c>
      <c r="E69" s="12" t="inlineStr">
        <is>
          <t>イベントが存在しない</t>
        </is>
      </c>
      <c r="F69" s="12" t="inlineStr">
        <is>
          <t>post</t>
        </is>
      </c>
      <c r="G69" s="12" t="inlineStr">
        <is>
          <t>E-B-001</t>
        </is>
      </c>
      <c r="H69" s="12" t="inlineStr">
        <is>
          <t>-</t>
        </is>
      </c>
      <c r="I69" s="12" t="inlineStr">
        <is>
          <t>-</t>
        </is>
      </c>
      <c r="J69" s="12" t="inlineStr">
        <is>
          <t>AP-051</t>
        </is>
      </c>
      <c r="K69" s="12" t="inlineStr">
        <is>
          <t>自動</t>
        </is>
      </c>
      <c r="L69" s="12" t="inlineStr">
        <is>
          <t>post_異常系_イベントが存在しなければNotFoundException</t>
        </is>
      </c>
      <c r="M69" s="12" t="inlineStr">
        <is>
          <t>OK</t>
        </is>
      </c>
      <c r="N69" s="23" t="n">
        <v>46302</v>
      </c>
      <c r="O69" s="12" t="inlineStr">
        <is>
          <t>佐々木（Claude Code）</t>
        </is>
      </c>
      <c r="P69" s="12" t="inlineStr">
        <is>
          <t>自動テスト成功</t>
        </is>
      </c>
      <c r="Q69" s="12" t="inlineStr">
        <is>
          <t>evidence/UT/UT_バックエンド_結果一覧_20261007.txt</t>
        </is>
      </c>
      <c r="R69" s="12" t="n"/>
      <c r="S69" s="12" t="n"/>
      <c r="T69" s="12" t="n"/>
    </row>
    <row r="70" ht="40.5" customHeight="1">
      <c r="A70" s="12" t="inlineStr">
        <is>
          <t>UT-CMT-E03</t>
        </is>
      </c>
      <c r="B70" s="12" t="inlineStr">
        <is>
          <t>EventCommentService（コメントの投稿・返信・削除）</t>
        </is>
      </c>
      <c r="C70" s="12" t="inlineStr">
        <is>
          <t>異常系</t>
        </is>
      </c>
      <c r="D70" s="12" t="inlineStr">
        <is>
          <t>返信先が存在しなければNotFoundException</t>
        </is>
      </c>
      <c r="E70" s="12" t="inlineStr">
        <is>
          <t>返信先が存在しない</t>
        </is>
      </c>
      <c r="F70" s="12" t="inlineStr">
        <is>
          <t>post</t>
        </is>
      </c>
      <c r="G70" s="12" t="inlineStr">
        <is>
          <t>NotFoundException「返信先のコメントが見つかりません」（E-B-016）</t>
        </is>
      </c>
      <c r="H70" s="12" t="inlineStr">
        <is>
          <t>-</t>
        </is>
      </c>
      <c r="I70" s="12" t="inlineStr">
        <is>
          <t>-</t>
        </is>
      </c>
      <c r="J70" s="12" t="inlineStr">
        <is>
          <t>C-06</t>
        </is>
      </c>
      <c r="K70" s="12" t="inlineStr">
        <is>
          <t>自動</t>
        </is>
      </c>
      <c r="L70" s="12" t="inlineStr">
        <is>
          <t>post_異常系_返信先が存在しなければNotFoundException</t>
        </is>
      </c>
      <c r="M70" s="12" t="inlineStr">
        <is>
          <t>OK</t>
        </is>
      </c>
      <c r="N70" s="23" t="n">
        <v>46302</v>
      </c>
      <c r="O70" s="12" t="inlineStr">
        <is>
          <t>佐々木（Claude Code）</t>
        </is>
      </c>
      <c r="P70" s="12" t="inlineStr">
        <is>
          <t>自動テスト成功</t>
        </is>
      </c>
      <c r="Q70" s="12" t="inlineStr">
        <is>
          <t>evidence/UT/UT_バックエンド_結果一覧_20261007.txt</t>
        </is>
      </c>
      <c r="R70" s="12" t="n"/>
      <c r="S70" s="12" t="n"/>
      <c r="T70" s="12" t="n"/>
    </row>
    <row r="71" ht="40.5" customHeight="1">
      <c r="A71" s="12" t="inlineStr">
        <is>
          <t>UT-CMT-E04</t>
        </is>
      </c>
      <c r="B71" s="12" t="inlineStr">
        <is>
          <t>EventCommentService（コメントの投稿・返信・削除）</t>
        </is>
      </c>
      <c r="C71" s="12" t="inlineStr">
        <is>
          <t>異常系</t>
        </is>
      </c>
      <c r="D71" s="12" t="inlineStr">
        <is>
          <t>返信先が別イベントのコメントならNotFoundException</t>
        </is>
      </c>
      <c r="E71" s="12" t="inlineStr">
        <is>
          <t>返信先が別イベントのコメント</t>
        </is>
      </c>
      <c r="F71" s="12" t="inlineStr">
        <is>
          <t>post</t>
        </is>
      </c>
      <c r="G71" s="12" t="inlineStr">
        <is>
          <t>E-B-016</t>
        </is>
      </c>
      <c r="H71" s="12" t="inlineStr">
        <is>
          <t>-</t>
        </is>
      </c>
      <c r="I71" s="12" t="inlineStr">
        <is>
          <t>-</t>
        </is>
      </c>
      <c r="J71" s="12" t="inlineStr">
        <is>
          <t>C-06</t>
        </is>
      </c>
      <c r="K71" s="12" t="inlineStr">
        <is>
          <t>自動</t>
        </is>
      </c>
      <c r="L71" s="12" t="inlineStr">
        <is>
          <t>post_異常系_返信先が別イベントのコメントならNotFoundException</t>
        </is>
      </c>
      <c r="M71" s="12" t="inlineStr">
        <is>
          <t>OK</t>
        </is>
      </c>
      <c r="N71" s="23" t="n">
        <v>46302</v>
      </c>
      <c r="O71" s="12" t="inlineStr">
        <is>
          <t>佐々木（Claude Code）</t>
        </is>
      </c>
      <c r="P71" s="12" t="inlineStr">
        <is>
          <t>自動テスト成功</t>
        </is>
      </c>
      <c r="Q71" s="12" t="inlineStr">
        <is>
          <t>evidence/UT/UT_バックエンド_結果一覧_20261007.txt</t>
        </is>
      </c>
      <c r="R71" s="12" t="n"/>
      <c r="S71" s="12" t="n"/>
      <c r="T71" s="12" t="n"/>
    </row>
    <row r="72" ht="40.5" customHeight="1">
      <c r="A72" s="12" t="inlineStr">
        <is>
          <t>UT-CMT-E05</t>
        </is>
      </c>
      <c r="B72" s="12" t="inlineStr">
        <is>
          <t>EventCommentService（コメントの投稿・返信・削除）</t>
        </is>
      </c>
      <c r="C72" s="12" t="inlineStr">
        <is>
          <t>異常系</t>
        </is>
      </c>
      <c r="D72" s="12" t="inlineStr">
        <is>
          <t>本人でも管理者でもなければ削除できない</t>
        </is>
      </c>
      <c r="E72" s="12" t="inlineStr">
        <is>
          <t>本人でも管理者でもない</t>
        </is>
      </c>
      <c r="F72" s="12" t="inlineStr">
        <is>
          <t>delete</t>
        </is>
      </c>
      <c r="G72" s="12" t="inlineStr">
        <is>
          <t>ForbiddenException「削除できません」（E-A-004）</t>
        </is>
      </c>
      <c r="H72" s="12" t="inlineStr">
        <is>
          <t>-</t>
        </is>
      </c>
      <c r="I72" s="12" t="inlineStr">
        <is>
          <t>-</t>
        </is>
      </c>
      <c r="J72" s="12" t="inlineStr">
        <is>
          <t>R-13</t>
        </is>
      </c>
      <c r="K72" s="12" t="inlineStr">
        <is>
          <t>自動</t>
        </is>
      </c>
      <c r="L72" s="12" t="inlineStr">
        <is>
          <t>delete_異常系_本人でも管理者でもなければ削除できない</t>
        </is>
      </c>
      <c r="M72" s="12" t="inlineStr">
        <is>
          <t>OK</t>
        </is>
      </c>
      <c r="N72" s="23" t="n">
        <v>46302</v>
      </c>
      <c r="O72" s="12" t="inlineStr">
        <is>
          <t>佐々木（Claude Code）</t>
        </is>
      </c>
      <c r="P72" s="12" t="inlineStr">
        <is>
          <t>自動テスト成功</t>
        </is>
      </c>
      <c r="Q72" s="12" t="inlineStr">
        <is>
          <t>evidence/UT/UT_バックエンド_結果一覧_20261007.txt</t>
        </is>
      </c>
      <c r="R72" s="12" t="n"/>
      <c r="S72" s="12" t="n"/>
      <c r="T72" s="12" t="n"/>
    </row>
    <row r="73" ht="40.5" customHeight="1">
      <c r="A73" s="12" t="inlineStr">
        <is>
          <t>UT-CMT-E06</t>
        </is>
      </c>
      <c r="B73" s="12" t="inlineStr">
        <is>
          <t>EventCommentService（コメントの投稿・返信・削除）</t>
        </is>
      </c>
      <c r="C73" s="12" t="inlineStr">
        <is>
          <t>異常系</t>
        </is>
      </c>
      <c r="D73" s="12" t="inlineStr">
        <is>
          <t>コメントが存在しなければNotFoundException</t>
        </is>
      </c>
      <c r="E73" s="12" t="inlineStr">
        <is>
          <t>コメントが存在しない</t>
        </is>
      </c>
      <c r="F73" s="12" t="inlineStr">
        <is>
          <t>delete</t>
        </is>
      </c>
      <c r="G73" s="12" t="inlineStr">
        <is>
          <t>NotFoundException「コメントが見つかりません」（E-B-011）</t>
        </is>
      </c>
      <c r="H73" s="12" t="inlineStr">
        <is>
          <t>-</t>
        </is>
      </c>
      <c r="I73" s="12" t="inlineStr">
        <is>
          <t>-</t>
        </is>
      </c>
      <c r="J73" s="12" t="inlineStr">
        <is>
          <t>32_処理詳細設計書 4章 AP-052</t>
        </is>
      </c>
      <c r="K73" s="12" t="inlineStr">
        <is>
          <t>自動</t>
        </is>
      </c>
      <c r="L73" s="12" t="inlineStr">
        <is>
          <t>delete_異常系_コメントが存在しなければNotFoundException</t>
        </is>
      </c>
      <c r="M73" s="12" t="inlineStr">
        <is>
          <t>OK</t>
        </is>
      </c>
      <c r="N73" s="23" t="n">
        <v>46302</v>
      </c>
      <c r="O73" s="12" t="inlineStr">
        <is>
          <t>佐々木（Claude Code）</t>
        </is>
      </c>
      <c r="P73" s="12" t="inlineStr">
        <is>
          <t>自動テスト成功</t>
        </is>
      </c>
      <c r="Q73" s="12" t="inlineStr">
        <is>
          <t>evidence/UT/UT_バックエンド_結果一覧_20261007.txt</t>
        </is>
      </c>
      <c r="R73" s="12" t="n"/>
      <c r="S73" s="12" t="n"/>
      <c r="T73" s="12" t="n"/>
    </row>
    <row r="74" ht="27" customHeight="1">
      <c r="A74" s="12" t="inlineStr">
        <is>
          <t>UT-FAV-N01</t>
        </is>
      </c>
      <c r="B74" s="12" t="inlineStr">
        <is>
          <t>FavoriteService（お気に入りの登録・解除・一覧）</t>
        </is>
      </c>
      <c r="C74" s="12" t="inlineStr">
        <is>
          <t>正常系</t>
        </is>
      </c>
      <c r="D74" s="12" t="inlineStr">
        <is>
          <t>未登録なら新規登録される</t>
        </is>
      </c>
      <c r="E74" s="12" t="inlineStr">
        <is>
          <t>未登録</t>
        </is>
      </c>
      <c r="F74" s="12" t="inlineStr">
        <is>
          <t>add</t>
        </is>
      </c>
      <c r="G74" s="12" t="inlineStr">
        <is>
          <t>新規登録され、created=true</t>
        </is>
      </c>
      <c r="H74" s="12" t="inlineStr">
        <is>
          <t>-</t>
        </is>
      </c>
      <c r="I74" s="12" t="inlineStr">
        <is>
          <t>-</t>
        </is>
      </c>
      <c r="J74" s="12" t="inlineStr">
        <is>
          <t>F-030</t>
        </is>
      </c>
      <c r="K74" s="12" t="inlineStr">
        <is>
          <t>自動</t>
        </is>
      </c>
      <c r="L74" s="12" t="inlineStr">
        <is>
          <t>add_正常系_未登録なら新規登録される</t>
        </is>
      </c>
      <c r="M74" s="12" t="inlineStr">
        <is>
          <t>OK</t>
        </is>
      </c>
      <c r="N74" s="23" t="n">
        <v>46302</v>
      </c>
      <c r="O74" s="12" t="inlineStr">
        <is>
          <t>佐々木（Claude Code）</t>
        </is>
      </c>
      <c r="P74" s="12" t="inlineStr">
        <is>
          <t>自動テスト成功</t>
        </is>
      </c>
      <c r="Q74" s="12" t="inlineStr">
        <is>
          <t>evidence/UT/UT_バックエンド_結果一覧_20261007.txt</t>
        </is>
      </c>
      <c r="R74" s="12" t="n"/>
      <c r="S74" s="12" t="n"/>
      <c r="T74" s="12" t="n"/>
    </row>
    <row r="75" ht="27" customHeight="1">
      <c r="A75" s="12" t="inlineStr">
        <is>
          <t>UT-FAV-N02</t>
        </is>
      </c>
      <c r="B75" s="12" t="inlineStr">
        <is>
          <t>FavoriteService（お気に入りの登録・解除・一覧）</t>
        </is>
      </c>
      <c r="C75" s="12" t="inlineStr">
        <is>
          <t>正常系</t>
        </is>
      </c>
      <c r="D75" s="12" t="inlineStr">
        <is>
          <t>既に登録済みなら新規作成せず既存を返す</t>
        </is>
      </c>
      <c r="E75" s="12" t="inlineStr">
        <is>
          <t>登録済み</t>
        </is>
      </c>
      <c r="F75" s="12" t="inlineStr">
        <is>
          <t>add</t>
        </is>
      </c>
      <c r="G75" s="12" t="inlineStr">
        <is>
          <t>新規作成せず既存を返し、created=false</t>
        </is>
      </c>
      <c r="H75" s="12" t="inlineStr">
        <is>
          <t>-</t>
        </is>
      </c>
      <c r="I75" s="12" t="inlineStr">
        <is>
          <t>-</t>
        </is>
      </c>
      <c r="J75" s="12" t="inlineStr">
        <is>
          <t>R-12</t>
        </is>
      </c>
      <c r="K75" s="12" t="inlineStr">
        <is>
          <t>自動</t>
        </is>
      </c>
      <c r="L75" s="12" t="inlineStr">
        <is>
          <t>add_機能_既に登録済みなら新規作成せず既存を返す</t>
        </is>
      </c>
      <c r="M75" s="12" t="inlineStr">
        <is>
          <t>OK</t>
        </is>
      </c>
      <c r="N75" s="23" t="n">
        <v>46302</v>
      </c>
      <c r="O75" s="12" t="inlineStr">
        <is>
          <t>佐々木（Claude Code）</t>
        </is>
      </c>
      <c r="P75" s="12" t="inlineStr">
        <is>
          <t>自動テスト成功</t>
        </is>
      </c>
      <c r="Q75" s="12" t="inlineStr">
        <is>
          <t>evidence/UT/UT_バックエンド_結果一覧_20261007.txt</t>
        </is>
      </c>
      <c r="R75" s="12" t="n"/>
      <c r="S75" s="12" t="n"/>
      <c r="T75" s="12" t="n"/>
    </row>
    <row r="76" ht="27" customHeight="1">
      <c r="A76" s="12" t="inlineStr">
        <is>
          <t>UT-FAV-N03</t>
        </is>
      </c>
      <c r="B76" s="12" t="inlineStr">
        <is>
          <t>FavoriteService（お気に入りの登録・解除・一覧）</t>
        </is>
      </c>
      <c r="C76" s="12" t="inlineStr">
        <is>
          <t>正常系</t>
        </is>
      </c>
      <c r="D76" s="12" t="inlineStr">
        <is>
          <t>未登録でもエラーにならない</t>
        </is>
      </c>
      <c r="E76" s="12" t="inlineStr">
        <is>
          <t>未登録</t>
        </is>
      </c>
      <c r="F76" s="12" t="inlineStr">
        <is>
          <t>remove</t>
        </is>
      </c>
      <c r="G76" s="12" t="inlineStr">
        <is>
          <t>エラーにならない</t>
        </is>
      </c>
      <c r="H76" s="12" t="inlineStr">
        <is>
          <t>-</t>
        </is>
      </c>
      <c r="I76" s="12" t="inlineStr">
        <is>
          <t>-</t>
        </is>
      </c>
      <c r="J76" s="12" t="inlineStr">
        <is>
          <t>F-030</t>
        </is>
      </c>
      <c r="K76" s="12" t="inlineStr">
        <is>
          <t>自動</t>
        </is>
      </c>
      <c r="L76" s="12" t="inlineStr">
        <is>
          <t>remove_機能_未登録でもエラーにならない</t>
        </is>
      </c>
      <c r="M76" s="12" t="inlineStr">
        <is>
          <t>OK</t>
        </is>
      </c>
      <c r="N76" s="23" t="n">
        <v>46302</v>
      </c>
      <c r="O76" s="12" t="inlineStr">
        <is>
          <t>佐々木（Claude Code）</t>
        </is>
      </c>
      <c r="P76" s="12" t="inlineStr">
        <is>
          <t>自動テスト成功</t>
        </is>
      </c>
      <c r="Q76" s="12" t="inlineStr">
        <is>
          <t>evidence/UT/UT_バックエンド_結果一覧_20261007.txt</t>
        </is>
      </c>
      <c r="R76" s="12" t="n"/>
      <c r="S76" s="12" t="n"/>
      <c r="T76" s="12" t="n"/>
    </row>
    <row r="77" ht="27" customHeight="1">
      <c r="A77" s="12" t="inlineStr">
        <is>
          <t>UT-FAV-N04</t>
        </is>
      </c>
      <c r="B77" s="12" t="inlineStr">
        <is>
          <t>FavoriteService（お気に入りの登録・解除・一覧）</t>
        </is>
      </c>
      <c r="C77" s="12" t="inlineStr">
        <is>
          <t>正常系</t>
        </is>
      </c>
      <c r="D77" s="12" t="inlineStr">
        <is>
          <t>イベント情報と登録日時を含めて返す</t>
        </is>
      </c>
      <c r="E77" s="12" t="inlineStr">
        <is>
          <t>登録が複数</t>
        </is>
      </c>
      <c r="F77" s="12" t="inlineStr">
        <is>
          <t>myFavorites</t>
        </is>
      </c>
      <c r="G77" s="12" t="inlineStr">
        <is>
          <t>イベント情報と登録日時を登録日時降順で返す</t>
        </is>
      </c>
      <c r="H77" s="12" t="inlineStr">
        <is>
          <t>-</t>
        </is>
      </c>
      <c r="I77" s="12" t="inlineStr">
        <is>
          <t>-</t>
        </is>
      </c>
      <c r="J77" s="12" t="inlineStr">
        <is>
          <t>AP-042</t>
        </is>
      </c>
      <c r="K77" s="12" t="inlineStr">
        <is>
          <t>自動</t>
        </is>
      </c>
      <c r="L77" s="12" t="inlineStr">
        <is>
          <t>myFavorites_正常系_イベント情報と登録日時を含めて返す</t>
        </is>
      </c>
      <c r="M77" s="12" t="inlineStr">
        <is>
          <t>OK</t>
        </is>
      </c>
      <c r="N77" s="23" t="n">
        <v>46302</v>
      </c>
      <c r="O77" s="12" t="inlineStr">
        <is>
          <t>佐々木（Claude Code）</t>
        </is>
      </c>
      <c r="P77" s="12" t="inlineStr">
        <is>
          <t>自動テスト成功</t>
        </is>
      </c>
      <c r="Q77" s="12" t="inlineStr">
        <is>
          <t>evidence/UT/UT_バックエンド_結果一覧_20261007.txt</t>
        </is>
      </c>
      <c r="R77" s="12" t="n"/>
      <c r="S77" s="12" t="n"/>
      <c r="T77" s="12" t="n"/>
    </row>
    <row r="78" ht="27" customHeight="1">
      <c r="A78" s="12" t="inlineStr">
        <is>
          <t>UT-FAV-N05</t>
        </is>
      </c>
      <c r="B78" s="12" t="inlineStr">
        <is>
          <t>FavoriteService（お気に入りの登録・解除・一覧）</t>
        </is>
      </c>
      <c r="C78" s="12" t="inlineStr">
        <is>
          <t>正常系</t>
        </is>
      </c>
      <c r="D78" s="12" t="inlineStr">
        <is>
          <t>お気に入りが無ければ空配列</t>
        </is>
      </c>
      <c r="E78" s="12" t="inlineStr">
        <is>
          <t>登録なし</t>
        </is>
      </c>
      <c r="F78" s="12" t="inlineStr">
        <is>
          <t>myFavorites</t>
        </is>
      </c>
      <c r="G78" s="12" t="inlineStr">
        <is>
          <t>空配列</t>
        </is>
      </c>
      <c r="H78" s="12" t="inlineStr">
        <is>
          <t>-</t>
        </is>
      </c>
      <c r="I78" s="12" t="inlineStr">
        <is>
          <t>-</t>
        </is>
      </c>
      <c r="J78" s="12" t="inlineStr">
        <is>
          <t>AP-042</t>
        </is>
      </c>
      <c r="K78" s="12" t="inlineStr">
        <is>
          <t>自動</t>
        </is>
      </c>
      <c r="L78" s="12" t="inlineStr">
        <is>
          <t>myFavorites_正常系_お気に入りが無ければ空配列</t>
        </is>
      </c>
      <c r="M78" s="12" t="inlineStr">
        <is>
          <t>OK</t>
        </is>
      </c>
      <c r="N78" s="23" t="n">
        <v>46302</v>
      </c>
      <c r="O78" s="12" t="inlineStr">
        <is>
          <t>佐々木（Claude Code）</t>
        </is>
      </c>
      <c r="P78" s="12" t="inlineStr">
        <is>
          <t>自動テスト成功</t>
        </is>
      </c>
      <c r="Q78" s="12" t="inlineStr">
        <is>
          <t>evidence/UT/UT_バックエンド_結果一覧_20261007.txt</t>
        </is>
      </c>
      <c r="R78" s="12" t="n"/>
      <c r="S78" s="12" t="n"/>
      <c r="T78" s="12" t="n"/>
    </row>
    <row r="79" ht="27" customHeight="1">
      <c r="A79" s="12" t="inlineStr">
        <is>
          <t>UT-FAV-N06</t>
        </is>
      </c>
      <c r="B79" s="12" t="inlineStr">
        <is>
          <t>FavoriteService（お気に入りの登録・解除・一覧）</t>
        </is>
      </c>
      <c r="C79" s="12" t="inlineStr">
        <is>
          <t>正常系</t>
        </is>
      </c>
      <c r="D79" s="12" t="inlineStr">
        <is>
          <t>リポジトリの件数を返す</t>
        </is>
      </c>
      <c r="E79" s="12" t="inlineStr">
        <is>
          <t>-</t>
        </is>
      </c>
      <c r="F79" s="12" t="inlineStr">
        <is>
          <t>countAll</t>
        </is>
      </c>
      <c r="G79" s="12" t="inlineStr">
        <is>
          <t>全件数を返す</t>
        </is>
      </c>
      <c r="H79" s="12" t="inlineStr">
        <is>
          <t>-</t>
        </is>
      </c>
      <c r="I79" s="12" t="inlineStr">
        <is>
          <t>-</t>
        </is>
      </c>
      <c r="J79" s="12" t="inlineStr">
        <is>
          <t>AP-131</t>
        </is>
      </c>
      <c r="K79" s="12" t="inlineStr">
        <is>
          <t>自動</t>
        </is>
      </c>
      <c r="L79" s="12" t="inlineStr">
        <is>
          <t>countAll_正常系_リポジトリの件数を返す</t>
        </is>
      </c>
      <c r="M79" s="12" t="inlineStr">
        <is>
          <t>OK</t>
        </is>
      </c>
      <c r="N79" s="23" t="n">
        <v>46302</v>
      </c>
      <c r="O79" s="12" t="inlineStr">
        <is>
          <t>佐々木（Claude Code）</t>
        </is>
      </c>
      <c r="P79" s="12" t="inlineStr">
        <is>
          <t>自動テスト成功</t>
        </is>
      </c>
      <c r="Q79" s="12" t="inlineStr">
        <is>
          <t>evidence/UT/UT_バックエンド_結果一覧_20261007.txt</t>
        </is>
      </c>
      <c r="R79" s="12" t="n"/>
      <c r="S79" s="12" t="n"/>
      <c r="T79" s="12" t="n"/>
    </row>
    <row r="80" ht="27" customHeight="1">
      <c r="A80" s="12" t="inlineStr">
        <is>
          <t>UT-FAV-E01</t>
        </is>
      </c>
      <c r="B80" s="12" t="inlineStr">
        <is>
          <t>FavoriteService（お気に入りの登録・解除・一覧）</t>
        </is>
      </c>
      <c r="C80" s="12" t="inlineStr">
        <is>
          <t>異常系</t>
        </is>
      </c>
      <c r="D80" s="12" t="inlineStr">
        <is>
          <t>イベントが存在しなければNotFoundException</t>
        </is>
      </c>
      <c r="E80" s="12" t="inlineStr">
        <is>
          <t>イベントが存在しない</t>
        </is>
      </c>
      <c r="F80" s="12" t="inlineStr">
        <is>
          <t>add</t>
        </is>
      </c>
      <c r="G80" s="12" t="inlineStr">
        <is>
          <t>E-B-001</t>
        </is>
      </c>
      <c r="H80" s="12" t="inlineStr">
        <is>
          <t>-</t>
        </is>
      </c>
      <c r="I80" s="12" t="inlineStr">
        <is>
          <t>-</t>
        </is>
      </c>
      <c r="J80" s="12" t="inlineStr">
        <is>
          <t>AP-040</t>
        </is>
      </c>
      <c r="K80" s="12" t="inlineStr">
        <is>
          <t>自動</t>
        </is>
      </c>
      <c r="L80" s="12" t="inlineStr">
        <is>
          <t>add_異常系_イベントが存在しなければNotFoundException</t>
        </is>
      </c>
      <c r="M80" s="12" t="inlineStr">
        <is>
          <t>OK</t>
        </is>
      </c>
      <c r="N80" s="23" t="n">
        <v>46302</v>
      </c>
      <c r="O80" s="12" t="inlineStr">
        <is>
          <t>佐々木（Claude Code）</t>
        </is>
      </c>
      <c r="P80" s="12" t="inlineStr">
        <is>
          <t>自動テスト成功</t>
        </is>
      </c>
      <c r="Q80" s="12" t="inlineStr">
        <is>
          <t>evidence/UT/UT_バックエンド_結果一覧_20261007.txt</t>
        </is>
      </c>
      <c r="R80" s="12" t="n"/>
      <c r="S80" s="12" t="n"/>
      <c r="T80" s="12" t="n"/>
    </row>
    <row r="81" ht="40.5" customHeight="1">
      <c r="A81" s="12" t="inlineStr">
        <is>
          <t>UT-USR-N01</t>
        </is>
      </c>
      <c r="B81" s="12" t="inlineStr">
        <is>
          <t>UserService（利用者登録・ログイン・パスワード変更・降格・退会）</t>
        </is>
      </c>
      <c r="C81" s="12" t="inlineStr">
        <is>
          <t>正常系</t>
        </is>
      </c>
      <c r="D81" s="12" t="inlineStr">
        <is>
          <t>未登録のメールアドレスなら一般利用者で登録される</t>
        </is>
      </c>
      <c r="E81" s="12" t="inlineStr">
        <is>
          <t>未登録のメールアドレス、条件を満たすパスワード</t>
        </is>
      </c>
      <c r="F81" s="12" t="inlineStr">
        <is>
          <t>register</t>
        </is>
      </c>
      <c r="G81" s="12" t="inlineStr">
        <is>
          <t>利用者区分コード＝1（一般利用者）で登録される。パスワードは入力値のままではなく、照合できるハッシュ値として保存される</t>
        </is>
      </c>
      <c r="H81" s="12" t="inlineStr">
        <is>
          <t>-</t>
        </is>
      </c>
      <c r="I81" s="12" t="inlineStr">
        <is>
          <t>-</t>
        </is>
      </c>
      <c r="J81" s="12" t="inlineStr">
        <is>
          <t>F-011</t>
        </is>
      </c>
      <c r="K81" s="12" t="inlineStr">
        <is>
          <t>自動</t>
        </is>
      </c>
      <c r="L81" s="12" t="inlineStr">
        <is>
          <t>register_正常系_未登録のメールアドレスなら一般利用者で登録される</t>
        </is>
      </c>
      <c r="M81" s="12" t="inlineStr">
        <is>
          <t>OK</t>
        </is>
      </c>
      <c r="N81" s="23" t="n">
        <v>46302</v>
      </c>
      <c r="O81" s="12" t="inlineStr">
        <is>
          <t>佐々木（Claude Code）</t>
        </is>
      </c>
      <c r="P81" s="12" t="inlineStr">
        <is>
          <t>自動テスト成功</t>
        </is>
      </c>
      <c r="Q81" s="12" t="inlineStr">
        <is>
          <t>evidence/UT/UT_バックエンド_結果一覧_20261007.txt</t>
        </is>
      </c>
      <c r="R81" s="12" t="n"/>
      <c r="S81" s="12" t="n"/>
      <c r="T81" s="12" t="n"/>
    </row>
    <row r="82" ht="40.5" customHeight="1">
      <c r="A82" s="12" t="inlineStr">
        <is>
          <t>UT-USR-N02</t>
        </is>
      </c>
      <c r="B82" s="12" t="inlineStr">
        <is>
          <t>UserService（利用者登録・ログイン・パスワード変更・降格・退会）</t>
        </is>
      </c>
      <c r="C82" s="12" t="inlineStr">
        <is>
          <t>正常系</t>
        </is>
      </c>
      <c r="D82" s="12" t="inlineStr">
        <is>
          <t>未登録のメールアドレスなら管理者で登録される</t>
        </is>
      </c>
      <c r="E82" s="12" t="inlineStr">
        <is>
          <t>未登録のメールアドレス、条件を満たすパスワード</t>
        </is>
      </c>
      <c r="F82" s="12" t="inlineStr">
        <is>
          <t>registerAdmin</t>
        </is>
      </c>
      <c r="G82" s="12" t="inlineStr">
        <is>
          <t>利用者区分コード＝2（管理者）で登録される</t>
        </is>
      </c>
      <c r="H82" s="12" t="inlineStr">
        <is>
          <t>-</t>
        </is>
      </c>
      <c r="I82" s="12" t="inlineStr">
        <is>
          <t>-</t>
        </is>
      </c>
      <c r="J82" s="12" t="inlineStr">
        <is>
          <t>F-141</t>
        </is>
      </c>
      <c r="K82" s="12" t="inlineStr">
        <is>
          <t>自動</t>
        </is>
      </c>
      <c r="L82" s="12" t="inlineStr">
        <is>
          <t>registerAdmin_正常系_未登録のメールアドレスなら管理者で登録される</t>
        </is>
      </c>
      <c r="M82" s="12" t="inlineStr">
        <is>
          <t>OK</t>
        </is>
      </c>
      <c r="N82" s="23" t="n">
        <v>46302</v>
      </c>
      <c r="O82" s="12" t="inlineStr">
        <is>
          <t>佐々木（Claude Code）</t>
        </is>
      </c>
      <c r="P82" s="12" t="inlineStr">
        <is>
          <t>自動テスト成功</t>
        </is>
      </c>
      <c r="Q82" s="12" t="inlineStr">
        <is>
          <t>evidence/UT/UT_バックエンド_結果一覧_20261007.txt</t>
        </is>
      </c>
      <c r="R82" s="12" t="n"/>
      <c r="S82" s="12" t="n"/>
      <c r="T82" s="12" t="n"/>
    </row>
    <row r="83" ht="40.5" customHeight="1">
      <c r="A83" s="12" t="inlineStr">
        <is>
          <t>UT-USR-N03</t>
        </is>
      </c>
      <c r="B83" s="12" t="inlineStr">
        <is>
          <t>UserService（利用者登録・ログイン・パスワード変更・降格・退会）</t>
        </is>
      </c>
      <c r="C83" s="12" t="inlineStr">
        <is>
          <t>正常系</t>
        </is>
      </c>
      <c r="D83" s="12" t="inlineStr">
        <is>
          <t>大文字混在と前後空白ありでも正規化して利用者を返す</t>
        </is>
      </c>
      <c r="E83" s="12" t="inlineStr">
        <is>
          <t>登録済みのメールアドレス（大文字混在・前後空白あり）と、正しいパスワード</t>
        </is>
      </c>
      <c r="F83" s="12" t="inlineStr">
        <is>
          <t>login</t>
        </is>
      </c>
      <c r="G83" s="12" t="inlineStr">
        <is>
          <t>メールアドレスを正規化して該当する利用者を返す</t>
        </is>
      </c>
      <c r="H83" s="12" t="inlineStr">
        <is>
          <t>-</t>
        </is>
      </c>
      <c r="I83" s="12" t="inlineStr">
        <is>
          <t>-</t>
        </is>
      </c>
      <c r="J83" s="12" t="inlineStr">
        <is>
          <t>F-010, 24_方式設計書 4.3</t>
        </is>
      </c>
      <c r="K83" s="12" t="inlineStr">
        <is>
          <t>自動</t>
        </is>
      </c>
      <c r="L83" s="12" t="inlineStr">
        <is>
          <t>login_正常系_大文字混在と前後空白ありでも正規化して利用者を返す</t>
        </is>
      </c>
      <c r="M83" s="12" t="inlineStr">
        <is>
          <t>OK</t>
        </is>
      </c>
      <c r="N83" s="23" t="n">
        <v>46302</v>
      </c>
      <c r="O83" s="12" t="inlineStr">
        <is>
          <t>佐々木（Claude Code）</t>
        </is>
      </c>
      <c r="P83" s="12" t="inlineStr">
        <is>
          <t>自動テスト成功</t>
        </is>
      </c>
      <c r="Q83" s="12" t="inlineStr">
        <is>
          <t>evidence/UT/UT_バックエンド_結果一覧_20261007.txt</t>
        </is>
      </c>
      <c r="R83" s="12" t="n"/>
      <c r="S83" s="12" t="n"/>
      <c r="T83" s="12" t="n"/>
    </row>
    <row r="84" ht="40.5" customHeight="1">
      <c r="A84" s="12" t="inlineStr">
        <is>
          <t>UT-USR-N04</t>
        </is>
      </c>
      <c r="B84" s="12" t="inlineStr">
        <is>
          <t>UserService（利用者登録・ログイン・パスワード変更・降格・退会）</t>
        </is>
      </c>
      <c r="C84" s="12" t="inlineStr">
        <is>
          <t>正常系</t>
        </is>
      </c>
      <c r="D84" s="12" t="inlineStr">
        <is>
          <t>管理者が2人以上いれば降格できる</t>
        </is>
      </c>
      <c r="E84" s="12" t="inlineStr">
        <is>
          <t>管理者が2人以上いる状態で、管理者を指定</t>
        </is>
      </c>
      <c r="F84" s="12" t="inlineStr">
        <is>
          <t>demote</t>
        </is>
      </c>
      <c r="G84" s="12" t="inlineStr">
        <is>
          <t>利用者区分コードが1（一般利用者）になる</t>
        </is>
      </c>
      <c r="H84" s="12" t="inlineStr">
        <is>
          <t>-</t>
        </is>
      </c>
      <c r="I84" s="12" t="inlineStr">
        <is>
          <t>-</t>
        </is>
      </c>
      <c r="J84" s="12" t="inlineStr">
        <is>
          <t>F-142</t>
        </is>
      </c>
      <c r="K84" s="12" t="inlineStr">
        <is>
          <t>自動</t>
        </is>
      </c>
      <c r="L84" s="12" t="inlineStr">
        <is>
          <t>demote_正常系_管理者が2人以上いれば降格できる</t>
        </is>
      </c>
      <c r="M84" s="12" t="inlineStr">
        <is>
          <t>OK</t>
        </is>
      </c>
      <c r="N84" s="23" t="n">
        <v>46302</v>
      </c>
      <c r="O84" s="12" t="inlineStr">
        <is>
          <t>佐々木（Claude Code）</t>
        </is>
      </c>
      <c r="P84" s="12" t="inlineStr">
        <is>
          <t>自動テスト成功</t>
        </is>
      </c>
      <c r="Q84" s="12" t="inlineStr">
        <is>
          <t>evidence/UT/UT_バックエンド_結果一覧_20261007.txt</t>
        </is>
      </c>
      <c r="R84" s="12" t="n"/>
      <c r="S84" s="12" t="n"/>
      <c r="T84" s="12" t="n"/>
    </row>
    <row r="85" ht="40.5" customHeight="1">
      <c r="A85" s="12" t="inlineStr">
        <is>
          <t>UT-USR-N05</t>
        </is>
      </c>
      <c r="B85" s="12" t="inlineStr">
        <is>
          <t>UserService（利用者登録・ログイン・パスワード変更・降格・退会）</t>
        </is>
      </c>
      <c r="C85" s="12" t="inlineStr">
        <is>
          <t>正常系</t>
        </is>
      </c>
      <c r="D85" s="12" t="inlineStr">
        <is>
          <t>本人は自分を退会できる</t>
        </is>
      </c>
      <c r="E85" s="12" t="inlineStr">
        <is>
          <t>本人が自分（一般利用者）を指定</t>
        </is>
      </c>
      <c r="F85" s="12" t="inlineStr">
        <is>
          <t>anonymize</t>
        </is>
      </c>
      <c r="G85" s="12" t="inlineStr">
        <is>
          <t>名前が「退会済み利用者」、メールアドレスが「withdrawn-{id}@invalid.example」になり、退会日時が設定される</t>
        </is>
      </c>
      <c r="H85" s="12" t="inlineStr">
        <is>
          <t>-</t>
        </is>
      </c>
      <c r="I85" s="12" t="inlineStr">
        <is>
          <t>-</t>
        </is>
      </c>
      <c r="J85" s="12" t="inlineStr">
        <is>
          <t>F-013</t>
        </is>
      </c>
      <c r="K85" s="12" t="inlineStr">
        <is>
          <t>自動</t>
        </is>
      </c>
      <c r="L85" s="12" t="inlineStr">
        <is>
          <t>anonymize_正常系_本人は自分を退会できる</t>
        </is>
      </c>
      <c r="M85" s="12" t="inlineStr">
        <is>
          <t>OK</t>
        </is>
      </c>
      <c r="N85" s="23" t="n">
        <v>46302</v>
      </c>
      <c r="O85" s="12" t="inlineStr">
        <is>
          <t>佐々木（Claude Code）</t>
        </is>
      </c>
      <c r="P85" s="12" t="inlineStr">
        <is>
          <t>自動テスト成功</t>
        </is>
      </c>
      <c r="Q85" s="12" t="inlineStr">
        <is>
          <t>evidence/UT/UT_バックエンド_結果一覧_20261007.txt</t>
        </is>
      </c>
      <c r="R85" s="12" t="n"/>
      <c r="S85" s="12" t="n"/>
      <c r="T85" s="12" t="n"/>
    </row>
    <row r="86" ht="40.5" customHeight="1">
      <c r="A86" s="12" t="inlineStr">
        <is>
          <t>UT-USR-N06</t>
        </is>
      </c>
      <c r="B86" s="12" t="inlineStr">
        <is>
          <t>UserService（利用者登録・ログイン・パスワード変更・降格・退会）</t>
        </is>
      </c>
      <c r="C86" s="12" t="inlineStr">
        <is>
          <t>正常系</t>
        </is>
      </c>
      <c r="D86" s="12" t="inlineStr">
        <is>
          <t>管理者は一般利用者を退会させられる</t>
        </is>
      </c>
      <c r="E86" s="12" t="inlineStr">
        <is>
          <t>管理者が一般利用者を指定</t>
        </is>
      </c>
      <c r="F86" s="12" t="inlineStr">
        <is>
          <t>anonymize</t>
        </is>
      </c>
      <c r="G86" s="12" t="inlineStr">
        <is>
          <t>同上</t>
        </is>
      </c>
      <c r="H86" s="12" t="inlineStr">
        <is>
          <t>-</t>
        </is>
      </c>
      <c r="I86" s="12" t="inlineStr">
        <is>
          <t>-</t>
        </is>
      </c>
      <c r="J86" s="12" t="inlineStr">
        <is>
          <t>F-013</t>
        </is>
      </c>
      <c r="K86" s="12" t="inlineStr">
        <is>
          <t>自動</t>
        </is>
      </c>
      <c r="L86" s="12" t="inlineStr">
        <is>
          <t>anonymize_正常系_管理者は一般利用者を退会させられる</t>
        </is>
      </c>
      <c r="M86" s="12" t="inlineStr">
        <is>
          <t>OK</t>
        </is>
      </c>
      <c r="N86" s="23" t="n">
        <v>46302</v>
      </c>
      <c r="O86" s="12" t="inlineStr">
        <is>
          <t>佐々木（Claude Code）</t>
        </is>
      </c>
      <c r="P86" s="12" t="inlineStr">
        <is>
          <t>自動テスト成功</t>
        </is>
      </c>
      <c r="Q86" s="12" t="inlineStr">
        <is>
          <t>evidence/UT/UT_バックエンド_結果一覧_20261007.txt</t>
        </is>
      </c>
      <c r="R86" s="12" t="n"/>
      <c r="S86" s="12" t="n"/>
      <c r="T86" s="12" t="n"/>
    </row>
    <row r="87" ht="40.5" customHeight="1">
      <c r="A87" s="12" t="inlineStr">
        <is>
          <t>UT-USR-N07</t>
        </is>
      </c>
      <c r="B87" s="12" t="inlineStr">
        <is>
          <t>UserService（利用者登録・ログイン・パスワード変更・降格・退会）</t>
        </is>
      </c>
      <c r="C87" s="12" t="inlineStr">
        <is>
          <t>正常系</t>
        </is>
      </c>
      <c r="D87" s="12" t="inlineStr">
        <is>
          <t>現在のパスワードが一致すれば変更できる</t>
        </is>
      </c>
      <c r="E87" s="12" t="inlineStr">
        <is>
          <t>現在のパスワードが一致する</t>
        </is>
      </c>
      <c r="F87" s="12" t="inlineStr">
        <is>
          <t>changePassword</t>
        </is>
      </c>
      <c r="G87" s="12" t="inlineStr">
        <is>
          <t>新しいパスワードのハッシュ値で上書きされる。新しいパスワードで照合でき、古いパスワードでは照合できない</t>
        </is>
      </c>
      <c r="H87" s="12" t="inlineStr">
        <is>
          <t>-</t>
        </is>
      </c>
      <c r="I87" s="12" t="inlineStr">
        <is>
          <t>-</t>
        </is>
      </c>
      <c r="J87" s="12" t="inlineStr">
        <is>
          <t>R-23</t>
        </is>
      </c>
      <c r="K87" s="12" t="inlineStr">
        <is>
          <t>自動</t>
        </is>
      </c>
      <c r="L87" s="12" t="inlineStr">
        <is>
          <t>changePassword_正常系_現在のパスワードが一致すれば変更できる</t>
        </is>
      </c>
      <c r="M87" s="12" t="inlineStr">
        <is>
          <t>OK</t>
        </is>
      </c>
      <c r="N87" s="23" t="n">
        <v>46302</v>
      </c>
      <c r="O87" s="12" t="inlineStr">
        <is>
          <t>佐々木（Claude Code）</t>
        </is>
      </c>
      <c r="P87" s="12" t="inlineStr">
        <is>
          <t>自動テスト成功</t>
        </is>
      </c>
      <c r="Q87" s="12" t="inlineStr">
        <is>
          <t>evidence/UT/UT_バックエンド_結果一覧_20261007.txt</t>
        </is>
      </c>
      <c r="R87" s="12" t="n"/>
      <c r="S87" s="12" t="n"/>
      <c r="T87" s="12" t="n"/>
    </row>
    <row r="88" ht="40.5" customHeight="1">
      <c r="A88" s="12" t="inlineStr">
        <is>
          <t>UT-USR-N08</t>
        </is>
      </c>
      <c r="B88" s="12" t="inlineStr">
        <is>
          <t>UserService（利用者登録・ログイン・パスワード変更・降格・退会）</t>
        </is>
      </c>
      <c r="C88" s="12" t="inlineStr">
        <is>
          <t>正常系</t>
        </is>
      </c>
      <c r="D88" s="12" t="inlineStr">
        <is>
          <t>退会するとパスワードが無効化される</t>
        </is>
      </c>
      <c r="E88" s="12" t="inlineStr">
        <is>
          <t>本人が自分（一般利用者）を指定</t>
        </is>
      </c>
      <c r="F88" s="12" t="inlineStr">
        <is>
          <t>anonymize</t>
        </is>
      </c>
      <c r="G88" s="12" t="inlineStr">
        <is>
          <t>パスワードのハッシュ値がNULLになる（無効化される）</t>
        </is>
      </c>
      <c r="H88" s="12" t="inlineStr">
        <is>
          <t>-</t>
        </is>
      </c>
      <c r="I88" s="12" t="inlineStr">
        <is>
          <t>-</t>
        </is>
      </c>
      <c r="J88" s="12" t="inlineStr">
        <is>
          <t>R-24</t>
        </is>
      </c>
      <c r="K88" s="12" t="inlineStr">
        <is>
          <t>自動</t>
        </is>
      </c>
      <c r="L88" s="12" t="inlineStr">
        <is>
          <t>anonymize_正常系_退会するとパスワードが無効化される</t>
        </is>
      </c>
      <c r="M88" s="12" t="inlineStr">
        <is>
          <t>OK</t>
        </is>
      </c>
      <c r="N88" s="23" t="n">
        <v>46302</v>
      </c>
      <c r="O88" s="12" t="inlineStr">
        <is>
          <t>佐々木（Claude Code）</t>
        </is>
      </c>
      <c r="P88" s="12" t="inlineStr">
        <is>
          <t>自動テスト成功</t>
        </is>
      </c>
      <c r="Q88" s="12" t="inlineStr">
        <is>
          <t>evidence/UT/UT_バックエンド_結果一覧_20261007.txt</t>
        </is>
      </c>
      <c r="R88" s="12" t="n"/>
      <c r="S88" s="12" t="n"/>
      <c r="T88" s="12" t="n"/>
    </row>
    <row r="89" ht="40.5" customHeight="1">
      <c r="A89" s="12" t="inlineStr">
        <is>
          <t>UT-USR-N09</t>
        </is>
      </c>
      <c r="B89" s="12" t="inlineStr">
        <is>
          <t>UserService（利用者登録・ログイン・パスワード変更・降格・退会）</t>
        </is>
      </c>
      <c r="C89" s="12" t="inlineStr">
        <is>
          <t>正常系</t>
        </is>
      </c>
      <c r="D89" s="12" t="inlineStr">
        <is>
          <t>seed_初期利用者のパスワードハッシュは初期パスワードと照合できる</t>
        </is>
      </c>
      <c r="E89" s="12" t="inlineStr">
        <is>
          <t>seed.sqlに記載した初期利用者のパスワードハッシュ</t>
        </is>
      </c>
      <c r="F89" s="12" t="inlineStr">
        <is>
          <t>（初期データ）</t>
        </is>
      </c>
      <c r="G89" s="12" t="inlineStr">
        <is>
          <t>初期パスワード「Test1234」と照合できる</t>
        </is>
      </c>
      <c r="H89" s="12" t="inlineStr">
        <is>
          <t>-</t>
        </is>
      </c>
      <c r="I89" s="12" t="inlineStr">
        <is>
          <t>-</t>
        </is>
      </c>
      <c r="J89" s="12" t="inlineStr">
        <is>
          <t>24_方式設計書 3.4</t>
        </is>
      </c>
      <c r="K89" s="12" t="inlineStr">
        <is>
          <t>自動</t>
        </is>
      </c>
      <c r="L89" s="12" t="inlineStr">
        <is>
          <t>seed_初期利用者のパスワードハッシュは初期パスワードと照合できる</t>
        </is>
      </c>
      <c r="M89" s="12" t="inlineStr">
        <is>
          <t>OK</t>
        </is>
      </c>
      <c r="N89" s="23" t="n">
        <v>46302</v>
      </c>
      <c r="O89" s="12" t="inlineStr">
        <is>
          <t>佐々木（Claude Code）</t>
        </is>
      </c>
      <c r="P89" s="12" t="inlineStr">
        <is>
          <t>自動テスト成功</t>
        </is>
      </c>
      <c r="Q89" s="12" t="inlineStr">
        <is>
          <t>evidence/UT/UT_バックエンド_結果一覧_20261007.txt</t>
        </is>
      </c>
      <c r="R89" s="12" t="n"/>
      <c r="S89" s="12" t="n"/>
      <c r="T89" s="12" t="n"/>
    </row>
    <row r="90" ht="40.5" customHeight="1">
      <c r="A90" s="12" t="inlineStr">
        <is>
          <t>UT-USR-E01</t>
        </is>
      </c>
      <c r="B90" s="12" t="inlineStr">
        <is>
          <t>UserService（利用者登録・ログイン・パスワード変更・降格・退会）</t>
        </is>
      </c>
      <c r="C90" s="12" t="inlineStr">
        <is>
          <t>異常系</t>
        </is>
      </c>
      <c r="D90" s="12" t="inlineStr">
        <is>
          <t>登録済みのメールアドレスは登録できない</t>
        </is>
      </c>
      <c r="E90" s="12" t="inlineStr">
        <is>
          <t>登録済みのメールアドレス</t>
        </is>
      </c>
      <c r="F90" s="12" t="inlineStr">
        <is>
          <t>register</t>
        </is>
      </c>
      <c r="G90" s="12" t="inlineStr">
        <is>
          <t>BusinessException「この内容では登録できませんでした。ログインをお試しください」（E-B-015）</t>
        </is>
      </c>
      <c r="H90" s="12" t="inlineStr">
        <is>
          <t>-</t>
        </is>
      </c>
      <c r="I90" s="12" t="inlineStr">
        <is>
          <t>-</t>
        </is>
      </c>
      <c r="J90" s="12" t="inlineStr">
        <is>
          <t>R-15, 24_方式設計書 3.5</t>
        </is>
      </c>
      <c r="K90" s="12" t="inlineStr">
        <is>
          <t>自動</t>
        </is>
      </c>
      <c r="L90" s="12" t="inlineStr">
        <is>
          <t>register_異常系_登録済みのメールアドレスは登録できない</t>
        </is>
      </c>
      <c r="M90" s="12" t="inlineStr">
        <is>
          <t>OK</t>
        </is>
      </c>
      <c r="N90" s="23" t="n">
        <v>46302</v>
      </c>
      <c r="O90" s="12" t="inlineStr">
        <is>
          <t>佐々木（Claude Code）</t>
        </is>
      </c>
      <c r="P90" s="12" t="inlineStr">
        <is>
          <t>自動テスト成功</t>
        </is>
      </c>
      <c r="Q90" s="12" t="inlineStr">
        <is>
          <t>evidence/UT/UT_バックエンド_結果一覧_20261007.txt</t>
        </is>
      </c>
      <c r="R90" s="12" t="n"/>
      <c r="S90" s="12" t="n"/>
      <c r="T90" s="12" t="n"/>
    </row>
    <row r="91" ht="40.5" customHeight="1">
      <c r="A91" s="12" t="inlineStr">
        <is>
          <t>UT-USR-E02</t>
        </is>
      </c>
      <c r="B91" s="12" t="inlineStr">
        <is>
          <t>UserService（利用者登録・ログイン・パスワード変更・降格・退会）</t>
        </is>
      </c>
      <c r="C91" s="12" t="inlineStr">
        <is>
          <t>異常系</t>
        </is>
      </c>
      <c r="D91" s="12" t="inlineStr">
        <is>
          <t>大文字小文字と前後空白だけ異なるメールアドレスは重複と判定される</t>
        </is>
      </c>
      <c r="E91" s="12" t="inlineStr">
        <is>
          <t>登録済みと大文字小文字・前後空白だけ異なるメールアドレス</t>
        </is>
      </c>
      <c r="F91" s="12" t="inlineStr">
        <is>
          <t>register</t>
        </is>
      </c>
      <c r="G91" s="12" t="inlineStr">
        <is>
          <t>正規化後に重複と判定され、E-B-015</t>
        </is>
      </c>
      <c r="H91" s="12" t="inlineStr">
        <is>
          <t>-</t>
        </is>
      </c>
      <c r="I91" s="12" t="inlineStr">
        <is>
          <t>-</t>
        </is>
      </c>
      <c r="J91" s="12" t="inlineStr">
        <is>
          <t>24_方式設計書 4.3</t>
        </is>
      </c>
      <c r="K91" s="12" t="inlineStr">
        <is>
          <t>自動</t>
        </is>
      </c>
      <c r="L91" s="12" t="inlineStr">
        <is>
          <t>register_異常系_大文字小文字と前後空白だけ異なるメールアドレスは重複と判定される</t>
        </is>
      </c>
      <c r="M91" s="12" t="inlineStr">
        <is>
          <t>OK</t>
        </is>
      </c>
      <c r="N91" s="23" t="n">
        <v>46302</v>
      </c>
      <c r="O91" s="12" t="inlineStr">
        <is>
          <t>佐々木（Claude Code）</t>
        </is>
      </c>
      <c r="P91" s="12" t="inlineStr">
        <is>
          <t>自動テスト成功</t>
        </is>
      </c>
      <c r="Q91" s="12" t="inlineStr">
        <is>
          <t>evidence/UT/UT_バックエンド_結果一覧_20261007.txt</t>
        </is>
      </c>
      <c r="R91" s="12" t="n"/>
      <c r="S91" s="12" t="n"/>
      <c r="T91" s="12" t="n"/>
    </row>
    <row r="92" ht="40.5" customHeight="1">
      <c r="A92" s="12" t="inlineStr">
        <is>
          <t>UT-USR-E03</t>
        </is>
      </c>
      <c r="B92" s="12" t="inlineStr">
        <is>
          <t>UserService（利用者登録・ログイン・パスワード変更・降格・退会）</t>
        </is>
      </c>
      <c r="C92" s="12" t="inlineStr">
        <is>
          <t>異常系</t>
        </is>
      </c>
      <c r="D92" s="12" t="inlineStr">
        <is>
          <t>登録済みのメールアドレスは登録できない</t>
        </is>
      </c>
      <c r="E92" s="12" t="inlineStr">
        <is>
          <t>登録済みのメールアドレス</t>
        </is>
      </c>
      <c r="F92" s="12" t="inlineStr">
        <is>
          <t>registerAdmin</t>
        </is>
      </c>
      <c r="G92" s="12" t="inlineStr">
        <is>
          <t>BusinessException「このメールアドレスは既に登録されています」（E-B-015）</t>
        </is>
      </c>
      <c r="H92" s="12" t="inlineStr">
        <is>
          <t>-</t>
        </is>
      </c>
      <c r="I92" s="12" t="inlineStr">
        <is>
          <t>-</t>
        </is>
      </c>
      <c r="J92" s="12" t="inlineStr">
        <is>
          <t>R-15</t>
        </is>
      </c>
      <c r="K92" s="12" t="inlineStr">
        <is>
          <t>自動</t>
        </is>
      </c>
      <c r="L92" s="12" t="inlineStr">
        <is>
          <t>registerAdmin_異常系_登録済みのメールアドレスは登録できない</t>
        </is>
      </c>
      <c r="M92" s="12" t="inlineStr">
        <is>
          <t>OK</t>
        </is>
      </c>
      <c r="N92" s="23" t="n">
        <v>46302</v>
      </c>
      <c r="O92" s="12" t="inlineStr">
        <is>
          <t>佐々木（Claude Code）</t>
        </is>
      </c>
      <c r="P92" s="12" t="inlineStr">
        <is>
          <t>自動テスト成功</t>
        </is>
      </c>
      <c r="Q92" s="12" t="inlineStr">
        <is>
          <t>evidence/UT/UT_バックエンド_結果一覧_20261007.txt</t>
        </is>
      </c>
      <c r="R92" s="12" t="n"/>
      <c r="S92" s="12" t="n"/>
      <c r="T92" s="12" t="n"/>
    </row>
    <row r="93" ht="40.5" customHeight="1">
      <c r="A93" s="12" t="inlineStr">
        <is>
          <t>UT-USR-E04</t>
        </is>
      </c>
      <c r="B93" s="12" t="inlineStr">
        <is>
          <t>UserService（利用者登録・ログイン・パスワード変更・降格・退会）</t>
        </is>
      </c>
      <c r="C93" s="12" t="inlineStr">
        <is>
          <t>異常系</t>
        </is>
      </c>
      <c r="D93" s="12" t="inlineStr">
        <is>
          <t>未登録のメールアドレスはログインできない</t>
        </is>
      </c>
      <c r="E93" s="12" t="inlineStr">
        <is>
          <t>未登録のメールアドレス</t>
        </is>
      </c>
      <c r="F93" s="12" t="inlineStr">
        <is>
          <t>login</t>
        </is>
      </c>
      <c r="G93" s="12" t="inlineStr">
        <is>
          <t>UnauthorizedException「ログインできませんでした。入力内容をご確認のうえ、初めてご利用の場合は新規登録してください」（E-A-006）</t>
        </is>
      </c>
      <c r="H93" s="12" t="inlineStr">
        <is>
          <t>-</t>
        </is>
      </c>
      <c r="I93" s="12" t="inlineStr">
        <is>
          <t>-</t>
        </is>
      </c>
      <c r="J93" s="12" t="inlineStr">
        <is>
          <t>F-010</t>
        </is>
      </c>
      <c r="K93" s="12" t="inlineStr">
        <is>
          <t>自動</t>
        </is>
      </c>
      <c r="L93" s="12" t="inlineStr">
        <is>
          <t>login_異常系_未登録のメールアドレスはログインできない</t>
        </is>
      </c>
      <c r="M93" s="12" t="inlineStr">
        <is>
          <t>OK</t>
        </is>
      </c>
      <c r="N93" s="23" t="n">
        <v>46302</v>
      </c>
      <c r="O93" s="12" t="inlineStr">
        <is>
          <t>佐々木（Claude Code）</t>
        </is>
      </c>
      <c r="P93" s="12" t="inlineStr">
        <is>
          <t>自動テスト成功</t>
        </is>
      </c>
      <c r="Q93" s="12" t="inlineStr">
        <is>
          <t>evidence/UT/UT_バックエンド_結果一覧_20261007.txt</t>
        </is>
      </c>
      <c r="R93" s="12" t="n"/>
      <c r="S93" s="12" t="n"/>
      <c r="T93" s="12" t="n"/>
    </row>
    <row r="94" ht="40.5" customHeight="1">
      <c r="A94" s="12" t="inlineStr">
        <is>
          <t>UT-USR-E05</t>
        </is>
      </c>
      <c r="B94" s="12" t="inlineStr">
        <is>
          <t>UserService（利用者登録・ログイン・パスワード変更・降格・退会）</t>
        </is>
      </c>
      <c r="C94" s="12" t="inlineStr">
        <is>
          <t>異常系</t>
        </is>
      </c>
      <c r="D94" s="12" t="inlineStr">
        <is>
          <t>一般利用者は降格できない</t>
        </is>
      </c>
      <c r="E94" s="12" t="inlineStr">
        <is>
          <t>一般利用者を指定</t>
        </is>
      </c>
      <c r="F94" s="12" t="inlineStr">
        <is>
          <t>demote</t>
        </is>
      </c>
      <c r="G94" s="12" t="inlineStr">
        <is>
          <t>BusinessException「既に一般利用者です」（E-B-019）</t>
        </is>
      </c>
      <c r="H94" s="12" t="inlineStr">
        <is>
          <t>-</t>
        </is>
      </c>
      <c r="I94" s="12" t="inlineStr">
        <is>
          <t>-</t>
        </is>
      </c>
      <c r="J94" s="12" t="inlineStr">
        <is>
          <t>R-16</t>
        </is>
      </c>
      <c r="K94" s="12" t="inlineStr">
        <is>
          <t>自動</t>
        </is>
      </c>
      <c r="L94" s="12" t="inlineStr">
        <is>
          <t>demote_異常系_一般利用者は降格できない</t>
        </is>
      </c>
      <c r="M94" s="12" t="inlineStr">
        <is>
          <t>OK</t>
        </is>
      </c>
      <c r="N94" s="23" t="n">
        <v>46302</v>
      </c>
      <c r="O94" s="12" t="inlineStr">
        <is>
          <t>佐々木（Claude Code）</t>
        </is>
      </c>
      <c r="P94" s="12" t="inlineStr">
        <is>
          <t>自動テスト成功</t>
        </is>
      </c>
      <c r="Q94" s="12" t="inlineStr">
        <is>
          <t>evidence/UT/UT_バックエンド_結果一覧_20261007.txt</t>
        </is>
      </c>
      <c r="R94" s="12" t="n"/>
      <c r="S94" s="12" t="n"/>
      <c r="T94" s="12" t="n"/>
    </row>
    <row r="95" ht="40.5" customHeight="1">
      <c r="A95" s="12" t="inlineStr">
        <is>
          <t>UT-USR-E06</t>
        </is>
      </c>
      <c r="B95" s="12" t="inlineStr">
        <is>
          <t>UserService（利用者登録・ログイン・パスワード変更・降格・退会）</t>
        </is>
      </c>
      <c r="C95" s="12" t="inlineStr">
        <is>
          <t>異常系</t>
        </is>
      </c>
      <c r="D95" s="12" t="inlineStr">
        <is>
          <t>最後の管理者は降格できない</t>
        </is>
      </c>
      <c r="E95" s="12" t="inlineStr">
        <is>
          <t>管理者が対象1人のみ</t>
        </is>
      </c>
      <c r="F95" s="12" t="inlineStr">
        <is>
          <t>demote</t>
        </is>
      </c>
      <c r="G95" s="12" t="inlineStr">
        <is>
          <t>BusinessException「最後の管理者は降格できません」（E-B-020）</t>
        </is>
      </c>
      <c r="H95" s="12" t="inlineStr">
        <is>
          <t>-</t>
        </is>
      </c>
      <c r="I95" s="12" t="inlineStr">
        <is>
          <t>-</t>
        </is>
      </c>
      <c r="J95" s="12" t="inlineStr">
        <is>
          <t>R-17</t>
        </is>
      </c>
      <c r="K95" s="12" t="inlineStr">
        <is>
          <t>自動</t>
        </is>
      </c>
      <c r="L95" s="12" t="inlineStr">
        <is>
          <t>demote_異常系_最後の管理者は降格できない</t>
        </is>
      </c>
      <c r="M95" s="12" t="inlineStr">
        <is>
          <t>OK</t>
        </is>
      </c>
      <c r="N95" s="23" t="n">
        <v>46302</v>
      </c>
      <c r="O95" s="12" t="inlineStr">
        <is>
          <t>佐々木（Claude Code）</t>
        </is>
      </c>
      <c r="P95" s="12" t="inlineStr">
        <is>
          <t>自動テスト成功</t>
        </is>
      </c>
      <c r="Q95" s="12" t="inlineStr">
        <is>
          <t>evidence/UT/UT_バックエンド_結果一覧_20261007.txt</t>
        </is>
      </c>
      <c r="R95" s="12" t="n"/>
      <c r="S95" s="12" t="n"/>
      <c r="T95" s="12" t="n"/>
    </row>
    <row r="96" ht="40.5" customHeight="1">
      <c r="A96" s="12" t="inlineStr">
        <is>
          <t>UT-USR-E07</t>
        </is>
      </c>
      <c r="B96" s="12" t="inlineStr">
        <is>
          <t>UserService（利用者登録・ログイン・パスワード変更・降格・退会）</t>
        </is>
      </c>
      <c r="C96" s="12" t="inlineStr">
        <is>
          <t>異常系</t>
        </is>
      </c>
      <c r="D96" s="12" t="inlineStr">
        <is>
          <t>利用者が存在しなければNotFoundException</t>
        </is>
      </c>
      <c r="E96" s="12" t="inlineStr">
        <is>
          <t>利用者が存在しない</t>
        </is>
      </c>
      <c r="F96" s="12" t="inlineStr">
        <is>
          <t>demote</t>
        </is>
      </c>
      <c r="G96" s="12" t="inlineStr">
        <is>
          <t>NotFoundException「利用者が見つかりません」（E-B-018）</t>
        </is>
      </c>
      <c r="H96" s="12" t="inlineStr">
        <is>
          <t>-</t>
        </is>
      </c>
      <c r="I96" s="12" t="inlineStr">
        <is>
          <t>-</t>
        </is>
      </c>
      <c r="J96" s="12" t="inlineStr">
        <is>
          <t>AP-146</t>
        </is>
      </c>
      <c r="K96" s="12" t="inlineStr">
        <is>
          <t>自動</t>
        </is>
      </c>
      <c r="L96" s="12" t="inlineStr">
        <is>
          <t>demote_異常系_利用者が存在しなければNotFoundException</t>
        </is>
      </c>
      <c r="M96" s="12" t="inlineStr">
        <is>
          <t>OK</t>
        </is>
      </c>
      <c r="N96" s="23" t="n">
        <v>46302</v>
      </c>
      <c r="O96" s="12" t="inlineStr">
        <is>
          <t>佐々木（Claude Code）</t>
        </is>
      </c>
      <c r="P96" s="12" t="inlineStr">
        <is>
          <t>自動テスト成功</t>
        </is>
      </c>
      <c r="Q96" s="12" t="inlineStr">
        <is>
          <t>evidence/UT/UT_バックエンド_結果一覧_20261007.txt</t>
        </is>
      </c>
      <c r="R96" s="12" t="n"/>
      <c r="S96" s="12" t="n"/>
      <c r="T96" s="12" t="n"/>
    </row>
    <row r="97" ht="40.5" customHeight="1">
      <c r="A97" s="12" t="inlineStr">
        <is>
          <t>UT-USR-E08</t>
        </is>
      </c>
      <c r="B97" s="12" t="inlineStr">
        <is>
          <t>UserService（利用者登録・ログイン・パスワード変更・降格・退会）</t>
        </is>
      </c>
      <c r="C97" s="12" t="inlineStr">
        <is>
          <t>異常系</t>
        </is>
      </c>
      <c r="D97" s="12" t="inlineStr">
        <is>
          <t>一般利用者は他人を退会させられない</t>
        </is>
      </c>
      <c r="E97" s="12" t="inlineStr">
        <is>
          <t>一般利用者が他人を指定</t>
        </is>
      </c>
      <c r="F97" s="12" t="inlineStr">
        <is>
          <t>anonymize</t>
        </is>
      </c>
      <c r="G97" s="12" t="inlineStr">
        <is>
          <t>ForbiddenException「権限がありません」（E-A-007）</t>
        </is>
      </c>
      <c r="H97" s="12" t="inlineStr">
        <is>
          <t>-</t>
        </is>
      </c>
      <c r="I97" s="12" t="inlineStr">
        <is>
          <t>-</t>
        </is>
      </c>
      <c r="J97" s="12" t="inlineStr">
        <is>
          <t>R-20</t>
        </is>
      </c>
      <c r="K97" s="12" t="inlineStr">
        <is>
          <t>自動</t>
        </is>
      </c>
      <c r="L97" s="12" t="inlineStr">
        <is>
          <t>anonymize_権限_一般利用者は他人を退会させられない</t>
        </is>
      </c>
      <c r="M97" s="12" t="inlineStr">
        <is>
          <t>OK</t>
        </is>
      </c>
      <c r="N97" s="23" t="n">
        <v>46302</v>
      </c>
      <c r="O97" s="12" t="inlineStr">
        <is>
          <t>佐々木（Claude Code）</t>
        </is>
      </c>
      <c r="P97" s="12" t="inlineStr">
        <is>
          <t>自動テスト成功</t>
        </is>
      </c>
      <c r="Q97" s="12" t="inlineStr">
        <is>
          <t>evidence/UT/UT_バックエンド_結果一覧_20261007.txt</t>
        </is>
      </c>
      <c r="R97" s="12" t="n"/>
      <c r="S97" s="12" t="n"/>
      <c r="T97" s="12" t="n"/>
    </row>
    <row r="98" ht="40.5" customHeight="1">
      <c r="A98" s="12" t="inlineStr">
        <is>
          <t>UT-USR-E09</t>
        </is>
      </c>
      <c r="B98" s="12" t="inlineStr">
        <is>
          <t>UserService（利用者登録・ログイン・パスワード変更・降格・退会）</t>
        </is>
      </c>
      <c r="C98" s="12" t="inlineStr">
        <is>
          <t>異常系</t>
        </is>
      </c>
      <c r="D98" s="12" t="inlineStr">
        <is>
          <t>管理者は退会できない</t>
        </is>
      </c>
      <c r="E98" s="12" t="inlineStr">
        <is>
          <t>対象が管理者</t>
        </is>
      </c>
      <c r="F98" s="12" t="inlineStr">
        <is>
          <t>anonymize</t>
        </is>
      </c>
      <c r="G98" s="12" t="inlineStr">
        <is>
          <t>BusinessException「管理者は退会できません」（E-B-021）</t>
        </is>
      </c>
      <c r="H98" s="12" t="inlineStr">
        <is>
          <t>-</t>
        </is>
      </c>
      <c r="I98" s="12" t="inlineStr">
        <is>
          <t>-</t>
        </is>
      </c>
      <c r="J98" s="12" t="inlineStr">
        <is>
          <t>R-18</t>
        </is>
      </c>
      <c r="K98" s="12" t="inlineStr">
        <is>
          <t>自動</t>
        </is>
      </c>
      <c r="L98" s="12" t="inlineStr">
        <is>
          <t>anonymize_異常系_管理者は退会できない</t>
        </is>
      </c>
      <c r="M98" s="12" t="inlineStr">
        <is>
          <t>OK</t>
        </is>
      </c>
      <c r="N98" s="23" t="n">
        <v>46302</v>
      </c>
      <c r="O98" s="12" t="inlineStr">
        <is>
          <t>佐々木（Claude Code）</t>
        </is>
      </c>
      <c r="P98" s="12" t="inlineStr">
        <is>
          <t>自動テスト成功</t>
        </is>
      </c>
      <c r="Q98" s="12" t="inlineStr">
        <is>
          <t>evidence/UT/UT_バックエンド_結果一覧_20261007.txt</t>
        </is>
      </c>
      <c r="R98" s="12" t="n"/>
      <c r="S98" s="12" t="n"/>
      <c r="T98" s="12" t="n"/>
    </row>
    <row r="99" ht="40.5" customHeight="1">
      <c r="A99" s="12" t="inlineStr">
        <is>
          <t>UT-USR-E10</t>
        </is>
      </c>
      <c r="B99" s="12" t="inlineStr">
        <is>
          <t>UserService（利用者登録・ログイン・パスワード変更・降格・退会）</t>
        </is>
      </c>
      <c r="C99" s="12" t="inlineStr">
        <is>
          <t>異常系</t>
        </is>
      </c>
      <c r="D99" s="12" t="inlineStr">
        <is>
          <t>退会済みの利用者は再度退会できない</t>
        </is>
      </c>
      <c r="E99" s="12" t="inlineStr">
        <is>
          <t>対象が退会済み</t>
        </is>
      </c>
      <c r="F99" s="12" t="inlineStr">
        <is>
          <t>anonymize</t>
        </is>
      </c>
      <c r="G99" s="12" t="inlineStr">
        <is>
          <t>BusinessException「既に退会済みです」（E-B-022）</t>
        </is>
      </c>
      <c r="H99" s="12" t="inlineStr">
        <is>
          <t>-</t>
        </is>
      </c>
      <c r="I99" s="12" t="inlineStr">
        <is>
          <t>-</t>
        </is>
      </c>
      <c r="J99" s="12" t="inlineStr">
        <is>
          <t>R-19</t>
        </is>
      </c>
      <c r="K99" s="12" t="inlineStr">
        <is>
          <t>自動</t>
        </is>
      </c>
      <c r="L99" s="12" t="inlineStr">
        <is>
          <t>anonymize_異常系_退会済みの利用者は再度退会できない</t>
        </is>
      </c>
      <c r="M99" s="12" t="inlineStr">
        <is>
          <t>OK</t>
        </is>
      </c>
      <c r="N99" s="23" t="n">
        <v>46302</v>
      </c>
      <c r="O99" s="12" t="inlineStr">
        <is>
          <t>佐々木（Claude Code）</t>
        </is>
      </c>
      <c r="P99" s="12" t="inlineStr">
        <is>
          <t>自動テスト成功</t>
        </is>
      </c>
      <c r="Q99" s="12" t="inlineStr">
        <is>
          <t>evidence/UT/UT_バックエンド_結果一覧_20261007.txt</t>
        </is>
      </c>
      <c r="R99" s="12" t="n"/>
      <c r="S99" s="12" t="n"/>
      <c r="T99" s="12" t="n"/>
    </row>
    <row r="100" ht="40.5" customHeight="1">
      <c r="A100" s="12" t="inlineStr">
        <is>
          <t>UT-USR-E11</t>
        </is>
      </c>
      <c r="B100" s="12" t="inlineStr">
        <is>
          <t>UserService（利用者登録・ログイン・パスワード変更・降格・退会）</t>
        </is>
      </c>
      <c r="C100" s="12" t="inlineStr">
        <is>
          <t>異常系</t>
        </is>
      </c>
      <c r="D100" s="12" t="inlineStr">
        <is>
          <t>利用者が存在しなければNotFoundException</t>
        </is>
      </c>
      <c r="E100" s="12" t="inlineStr">
        <is>
          <t>利用者が存在しない</t>
        </is>
      </c>
      <c r="F100" s="12" t="inlineStr">
        <is>
          <t>anonymize</t>
        </is>
      </c>
      <c r="G100" s="12" t="inlineStr">
        <is>
          <t>E-B-018</t>
        </is>
      </c>
      <c r="H100" s="12" t="inlineStr">
        <is>
          <t>-</t>
        </is>
      </c>
      <c r="I100" s="12" t="inlineStr">
        <is>
          <t>-</t>
        </is>
      </c>
      <c r="J100" s="12" t="inlineStr">
        <is>
          <t>AP-013</t>
        </is>
      </c>
      <c r="K100" s="12" t="inlineStr">
        <is>
          <t>自動</t>
        </is>
      </c>
      <c r="L100" s="12" t="inlineStr">
        <is>
          <t>anonymize_異常系_利用者が存在しなければNotFoundException</t>
        </is>
      </c>
      <c r="M100" s="12" t="inlineStr">
        <is>
          <t>OK</t>
        </is>
      </c>
      <c r="N100" s="23" t="n">
        <v>46302</v>
      </c>
      <c r="O100" s="12" t="inlineStr">
        <is>
          <t>佐々木（Claude Code）</t>
        </is>
      </c>
      <c r="P100" s="12" t="inlineStr">
        <is>
          <t>自動テスト成功</t>
        </is>
      </c>
      <c r="Q100" s="12" t="inlineStr">
        <is>
          <t>evidence/UT/UT_バックエンド_結果一覧_20261007.txt</t>
        </is>
      </c>
      <c r="R100" s="12" t="n"/>
      <c r="S100" s="12" t="n"/>
      <c r="T100" s="12" t="n"/>
    </row>
    <row r="101" ht="40.5" customHeight="1">
      <c r="A101" s="12" t="inlineStr">
        <is>
          <t>UT-USR-E12</t>
        </is>
      </c>
      <c r="B101" s="12" t="inlineStr">
        <is>
          <t>UserService（利用者登録・ログイン・パスワード変更・降格・退会）</t>
        </is>
      </c>
      <c r="C101" s="12" t="inlineStr">
        <is>
          <t>異常系</t>
        </is>
      </c>
      <c r="D101" s="12" t="inlineStr">
        <is>
          <t>パスワードが一致しなければログインできない</t>
        </is>
      </c>
      <c r="E101" s="12" t="inlineStr">
        <is>
          <t>登録済みのメールアドレスと、誤ったパスワード</t>
        </is>
      </c>
      <c r="F101" s="12" t="inlineStr">
        <is>
          <t>login</t>
        </is>
      </c>
      <c r="G101" s="12" t="inlineStr">
        <is>
          <t>UnauthorizedException（E-A-006）。メールアドレスが未登録の場合と同じメッセージになる</t>
        </is>
      </c>
      <c r="H101" s="12" t="inlineStr">
        <is>
          <t>-</t>
        </is>
      </c>
      <c r="I101" s="12" t="inlineStr">
        <is>
          <t>-</t>
        </is>
      </c>
      <c r="J101" s="12" t="inlineStr">
        <is>
          <t>R-22、24_方式設計書 3.5</t>
        </is>
      </c>
      <c r="K101" s="12" t="inlineStr">
        <is>
          <t>自動</t>
        </is>
      </c>
      <c r="L101" s="12" t="inlineStr">
        <is>
          <t>login_異常系_パスワードが一致しなければログインできない</t>
        </is>
      </c>
      <c r="M101" s="12" t="inlineStr">
        <is>
          <t>OK</t>
        </is>
      </c>
      <c r="N101" s="23" t="n">
        <v>46302</v>
      </c>
      <c r="O101" s="12" t="inlineStr">
        <is>
          <t>佐々木（Claude Code）</t>
        </is>
      </c>
      <c r="P101" s="12" t="inlineStr">
        <is>
          <t>自動テスト成功</t>
        </is>
      </c>
      <c r="Q101" s="12" t="inlineStr">
        <is>
          <t>evidence/UT/UT_バックエンド_結果一覧_20261007.txt</t>
        </is>
      </c>
      <c r="R101" s="12" t="n"/>
      <c r="S101" s="12" t="n"/>
      <c r="T101" s="12" t="n"/>
    </row>
    <row r="102" ht="40.5" customHeight="1">
      <c r="A102" s="12" t="inlineStr">
        <is>
          <t>UT-USR-E13</t>
        </is>
      </c>
      <c r="B102" s="12" t="inlineStr">
        <is>
          <t>UserService（利用者登録・ログイン・パスワード変更・降格・退会）</t>
        </is>
      </c>
      <c r="C102" s="12" t="inlineStr">
        <is>
          <t>異常系</t>
        </is>
      </c>
      <c r="D102" s="12" t="inlineStr">
        <is>
          <t>退会済みの利用者はログインできない</t>
        </is>
      </c>
      <c r="E102" s="12" t="inlineStr">
        <is>
          <t>退会済みの利用者（パスワードが無効化されている）</t>
        </is>
      </c>
      <c r="F102" s="12" t="inlineStr">
        <is>
          <t>login</t>
        </is>
      </c>
      <c r="G102" s="12" t="inlineStr">
        <is>
          <t>UnauthorizedException（E-A-006）</t>
        </is>
      </c>
      <c r="H102" s="12" t="inlineStr">
        <is>
          <t>-</t>
        </is>
      </c>
      <c r="I102" s="12" t="inlineStr">
        <is>
          <t>-</t>
        </is>
      </c>
      <c r="J102" s="12" t="inlineStr">
        <is>
          <t>R-22</t>
        </is>
      </c>
      <c r="K102" s="12" t="inlineStr">
        <is>
          <t>自動</t>
        </is>
      </c>
      <c r="L102" s="12" t="inlineStr">
        <is>
          <t>login_異常系_退会済みの利用者はログインできない</t>
        </is>
      </c>
      <c r="M102" s="12" t="inlineStr">
        <is>
          <t>OK</t>
        </is>
      </c>
      <c r="N102" s="23" t="n">
        <v>46302</v>
      </c>
      <c r="O102" s="12" t="inlineStr">
        <is>
          <t>佐々木（Claude Code）</t>
        </is>
      </c>
      <c r="P102" s="12" t="inlineStr">
        <is>
          <t>自動テスト成功</t>
        </is>
      </c>
      <c r="Q102" s="12" t="inlineStr">
        <is>
          <t>evidence/UT/UT_バックエンド_結果一覧_20261007.txt</t>
        </is>
      </c>
      <c r="R102" s="12" t="n"/>
      <c r="S102" s="12" t="n"/>
      <c r="T102" s="12" t="n"/>
    </row>
    <row r="103" ht="40.5" customHeight="1">
      <c r="A103" s="12" t="inlineStr">
        <is>
          <t>UT-USR-E14</t>
        </is>
      </c>
      <c r="B103" s="12" t="inlineStr">
        <is>
          <t>UserService（利用者登録・ログイン・パスワード変更・降格・退会）</t>
        </is>
      </c>
      <c r="C103" s="12" t="inlineStr">
        <is>
          <t>異常系</t>
        </is>
      </c>
      <c r="D103" s="12" t="inlineStr">
        <is>
          <t>現在のパスワードが一致しなければ変更できない</t>
        </is>
      </c>
      <c r="E103" s="12" t="inlineStr">
        <is>
          <t>現在のパスワードが一致しない</t>
        </is>
      </c>
      <c r="F103" s="12" t="inlineStr">
        <is>
          <t>changePassword</t>
        </is>
      </c>
      <c r="G103" s="12" t="inlineStr">
        <is>
          <t>BusinessException「現在のパスワードが正しくありません」（E-B-023）。パスワードは変更されない</t>
        </is>
      </c>
      <c r="H103" s="12" t="inlineStr">
        <is>
          <t>-</t>
        </is>
      </c>
      <c r="I103" s="12" t="inlineStr">
        <is>
          <t>-</t>
        </is>
      </c>
      <c r="J103" s="12" t="inlineStr">
        <is>
          <t>R-23、C-07</t>
        </is>
      </c>
      <c r="K103" s="12" t="inlineStr">
        <is>
          <t>自動</t>
        </is>
      </c>
      <c r="L103" s="12" t="inlineStr">
        <is>
          <t>changePassword_異常系_現在のパスワードが一致しなければ変更できない</t>
        </is>
      </c>
      <c r="M103" s="12" t="inlineStr">
        <is>
          <t>OK</t>
        </is>
      </c>
      <c r="N103" s="23" t="n">
        <v>46302</v>
      </c>
      <c r="O103" s="12" t="inlineStr">
        <is>
          <t>佐々木（Claude Code）</t>
        </is>
      </c>
      <c r="P103" s="12" t="inlineStr">
        <is>
          <t>自動テスト成功</t>
        </is>
      </c>
      <c r="Q103" s="12" t="inlineStr">
        <is>
          <t>evidence/UT/UT_バックエンド_結果一覧_20261007.txt</t>
        </is>
      </c>
      <c r="R103" s="12" t="n"/>
      <c r="S103" s="12" t="n"/>
      <c r="T103" s="12" t="n"/>
    </row>
    <row r="104" ht="27" customHeight="1">
      <c r="A104" s="12" t="inlineStr">
        <is>
          <t>UT-RPT-N01</t>
        </is>
      </c>
      <c r="B104" s="12" t="inlineStr">
        <is>
          <t>ReportService（申込実績の集計・CSV出力）</t>
        </is>
      </c>
      <c r="C104" s="12" t="inlineStr">
        <is>
          <t>正常系</t>
        </is>
      </c>
      <c r="D104" s="12" t="inlineStr">
        <is>
          <t>充足率は小数第2位までに丸められる</t>
        </is>
      </c>
      <c r="E104" s="12" t="inlineStr">
        <is>
          <t>定員3・受付済2</t>
        </is>
      </c>
      <c r="F104" s="12" t="inlineStr">
        <is>
          <t>summarize</t>
        </is>
      </c>
      <c r="G104" s="12" t="inlineStr">
        <is>
          <t>fillRate=0.67（小数第2位まで）</t>
        </is>
      </c>
      <c r="H104" s="12" t="inlineStr">
        <is>
          <t>-</t>
        </is>
      </c>
      <c r="I104" s="12" t="inlineStr">
        <is>
          <t>-</t>
        </is>
      </c>
      <c r="J104" s="12" t="inlineStr">
        <is>
          <t>AP-130</t>
        </is>
      </c>
      <c r="K104" s="12" t="inlineStr">
        <is>
          <t>自動</t>
        </is>
      </c>
      <c r="L104" s="12" t="inlineStr">
        <is>
          <t>summarize_正常系_充足率は小数第2位までに丸められる</t>
        </is>
      </c>
      <c r="M104" s="12" t="inlineStr">
        <is>
          <t>OK</t>
        </is>
      </c>
      <c r="N104" s="23" t="n">
        <v>46302</v>
      </c>
      <c r="O104" s="12" t="inlineStr">
        <is>
          <t>佐々木（Claude Code）</t>
        </is>
      </c>
      <c r="P104" s="12" t="inlineStr">
        <is>
          <t>自動テスト成功</t>
        </is>
      </c>
      <c r="Q104" s="12" t="inlineStr">
        <is>
          <t>evidence/UT/UT_バックエンド_結果一覧_20261007.txt</t>
        </is>
      </c>
      <c r="R104" s="12" t="n"/>
      <c r="S104" s="12" t="n"/>
      <c r="T104" s="12" t="n"/>
    </row>
    <row r="105" ht="40.5" customHeight="1">
      <c r="A105" s="12" t="inlineStr">
        <is>
          <t>UT-RPT-N02</t>
        </is>
      </c>
      <c r="B105" s="12" t="inlineStr">
        <is>
          <t>ReportService（申込実績の集計・CSV出力）</t>
        </is>
      </c>
      <c r="C105" s="12" t="inlineStr">
        <is>
          <t>正常系</t>
        </is>
      </c>
      <c r="D105" s="12" t="inlineStr">
        <is>
          <t>accepted_descなら受付済数の多い順に並ぶ</t>
        </is>
      </c>
      <c r="E105" s="12" t="inlineStr">
        <is>
          <t>sort=accepted_desc</t>
        </is>
      </c>
      <c r="F105" s="12" t="inlineStr">
        <is>
          <t>summarize</t>
        </is>
      </c>
      <c r="G105" s="12" t="inlineStr">
        <is>
          <t>受付済数の多い順に並ぶ</t>
        </is>
      </c>
      <c r="H105" s="12" t="inlineStr">
        <is>
          <t>-</t>
        </is>
      </c>
      <c r="I105" s="12" t="inlineStr">
        <is>
          <t>-</t>
        </is>
      </c>
      <c r="J105" s="12" t="inlineStr">
        <is>
          <t>AP-130</t>
        </is>
      </c>
      <c r="K105" s="12" t="inlineStr">
        <is>
          <t>自動</t>
        </is>
      </c>
      <c r="L105" s="12" t="inlineStr">
        <is>
          <t>summarize_正常系_accepted_descなら受付済数の多い順に並ぶ</t>
        </is>
      </c>
      <c r="M105" s="12" t="inlineStr">
        <is>
          <t>OK</t>
        </is>
      </c>
      <c r="N105" s="23" t="n">
        <v>46302</v>
      </c>
      <c r="O105" s="12" t="inlineStr">
        <is>
          <t>佐々木（Claude Code）</t>
        </is>
      </c>
      <c r="P105" s="12" t="inlineStr">
        <is>
          <t>自動テスト成功</t>
        </is>
      </c>
      <c r="Q105" s="12" t="inlineStr">
        <is>
          <t>evidence/UT/UT_バックエンド_結果一覧_20261007.txt</t>
        </is>
      </c>
      <c r="R105" s="12" t="n"/>
      <c r="S105" s="12" t="n"/>
      <c r="T105" s="12" t="n"/>
    </row>
    <row r="106" ht="27" customHeight="1">
      <c r="A106" s="12" t="inlineStr">
        <is>
          <t>UT-RPT-N03</t>
        </is>
      </c>
      <c r="B106" s="12" t="inlineStr">
        <is>
          <t>ReportService（申込実績の集計・CSV出力）</t>
        </is>
      </c>
      <c r="C106" s="12" t="inlineStr">
        <is>
          <t>正常系</t>
        </is>
      </c>
      <c r="D106" s="12" t="inlineStr">
        <is>
          <t>削除済みイベントは含まれない</t>
        </is>
      </c>
      <c r="E106" s="12" t="inlineStr">
        <is>
          <t>削除済みイベントを含む</t>
        </is>
      </c>
      <c r="F106" s="12" t="inlineStr">
        <is>
          <t>summarize</t>
        </is>
      </c>
      <c r="G106" s="12" t="inlineStr">
        <is>
          <t>削除済みイベントは含まれない</t>
        </is>
      </c>
      <c r="H106" s="12" t="inlineStr">
        <is>
          <t>-</t>
        </is>
      </c>
      <c r="I106" s="12" t="inlineStr">
        <is>
          <t>-</t>
        </is>
      </c>
      <c r="J106" s="12" t="inlineStr">
        <is>
          <t>10_要件定義書 7章「申込実績の集計対象」</t>
        </is>
      </c>
      <c r="K106" s="12" t="inlineStr">
        <is>
          <t>自動</t>
        </is>
      </c>
      <c r="L106" s="12" t="inlineStr">
        <is>
          <t>summarize_正常系_削除済みイベントは含まれない</t>
        </is>
      </c>
      <c r="M106" s="12" t="inlineStr">
        <is>
          <t>OK</t>
        </is>
      </c>
      <c r="N106" s="23" t="n">
        <v>46302</v>
      </c>
      <c r="O106" s="12" t="inlineStr">
        <is>
          <t>佐々木（Claude Code）</t>
        </is>
      </c>
      <c r="P106" s="12" t="inlineStr">
        <is>
          <t>自動テスト成功</t>
        </is>
      </c>
      <c r="Q106" s="12" t="inlineStr">
        <is>
          <t>evidence/UT/UT_バックエンド_結果一覧_20261007.txt</t>
        </is>
      </c>
      <c r="R106" s="12" t="n"/>
      <c r="S106" s="12" t="n"/>
      <c r="T106" s="12" t="n"/>
    </row>
    <row r="107" ht="27" customHeight="1">
      <c r="A107" s="12" t="inlineStr">
        <is>
          <t>UT-RPT-N04</t>
        </is>
      </c>
      <c r="B107" s="12" t="inlineStr">
        <is>
          <t>ReportService（申込実績の集計・CSV出力）</t>
        </is>
      </c>
      <c r="C107" s="12" t="inlineStr">
        <is>
          <t>正常系</t>
        </is>
      </c>
      <c r="D107" s="12" t="inlineStr">
        <is>
          <t>先頭がBOMでヘッダ行が仕様どおり</t>
        </is>
      </c>
      <c r="E107" s="12" t="inlineStr">
        <is>
          <t>申込あり</t>
        </is>
      </c>
      <c r="F107" s="12" t="inlineStr">
        <is>
          <t>toCsv</t>
        </is>
      </c>
      <c r="G107" s="12" t="inlineStr">
        <is>
          <t>先頭がBOM、ヘッダ行が「イベント名,申込者名,申込日時,ステータス,アンケート回答,参加区分」</t>
        </is>
      </c>
      <c r="H107" s="12" t="inlineStr">
        <is>
          <t>-</t>
        </is>
      </c>
      <c r="I107" s="12" t="inlineStr">
        <is>
          <t>-</t>
        </is>
      </c>
      <c r="J107" s="12" t="inlineStr">
        <is>
          <t>AP-130</t>
        </is>
      </c>
      <c r="K107" s="12" t="inlineStr">
        <is>
          <t>自動</t>
        </is>
      </c>
      <c r="L107" s="12" t="inlineStr">
        <is>
          <t>toCsv_正常系_先頭がBOMでヘッダ行が仕様どおり</t>
        </is>
      </c>
      <c r="M107" s="12" t="inlineStr">
        <is>
          <t>OK</t>
        </is>
      </c>
      <c r="N107" s="23" t="n">
        <v>46302</v>
      </c>
      <c r="O107" s="12" t="inlineStr">
        <is>
          <t>佐々木（Claude Code）</t>
        </is>
      </c>
      <c r="P107" s="12" t="inlineStr">
        <is>
          <t>自動テスト成功</t>
        </is>
      </c>
      <c r="Q107" s="12" t="inlineStr">
        <is>
          <t>evidence/UT/UT_バックエンド_結果一覧_20261007.txt</t>
        </is>
      </c>
      <c r="R107" s="12" t="n"/>
      <c r="S107" s="12" t="n"/>
      <c r="T107" s="12" t="n"/>
    </row>
    <row r="108" ht="27" customHeight="1">
      <c r="A108" s="12" t="inlineStr">
        <is>
          <t>UT-RPT-N05</t>
        </is>
      </c>
      <c r="B108" s="12" t="inlineStr">
        <is>
          <t>ReportService（申込実績の集計・CSV出力）</t>
        </is>
      </c>
      <c r="C108" s="12" t="inlineStr">
        <is>
          <t>正常系</t>
        </is>
      </c>
      <c r="D108" s="12" t="inlineStr">
        <is>
          <t>すべてのステータスの申込が出力される</t>
        </is>
      </c>
      <c r="E108" s="12" t="inlineStr">
        <is>
          <t>受付済・キャンセル待ち・キャンセル済が混在</t>
        </is>
      </c>
      <c r="F108" s="12" t="inlineStr">
        <is>
          <t>toCsv</t>
        </is>
      </c>
      <c r="G108" s="12" t="inlineStr">
        <is>
          <t>すべての申込が出力される</t>
        </is>
      </c>
      <c r="H108" s="12" t="inlineStr">
        <is>
          <t>-</t>
        </is>
      </c>
      <c r="I108" s="12" t="inlineStr">
        <is>
          <t>-</t>
        </is>
      </c>
      <c r="J108" s="12" t="inlineStr">
        <is>
          <t>AP-130</t>
        </is>
      </c>
      <c r="K108" s="12" t="inlineStr">
        <is>
          <t>自動</t>
        </is>
      </c>
      <c r="L108" s="12" t="inlineStr">
        <is>
          <t>toCsv_正常系_すべてのステータスの申込が出力される</t>
        </is>
      </c>
      <c r="M108" s="12" t="inlineStr">
        <is>
          <t>OK</t>
        </is>
      </c>
      <c r="N108" s="23" t="n">
        <v>46302</v>
      </c>
      <c r="O108" s="12" t="inlineStr">
        <is>
          <t>佐々木（Claude Code）</t>
        </is>
      </c>
      <c r="P108" s="12" t="inlineStr">
        <is>
          <t>自動テスト成功</t>
        </is>
      </c>
      <c r="Q108" s="12" t="inlineStr">
        <is>
          <t>evidence/UT/UT_バックエンド_結果一覧_20261007.txt</t>
        </is>
      </c>
      <c r="R108" s="12" t="n"/>
      <c r="S108" s="12" t="n"/>
      <c r="T108" s="12" t="n"/>
    </row>
    <row r="109" ht="27" customHeight="1">
      <c r="A109" s="12" t="inlineStr">
        <is>
          <t>UT-RPT-N06</t>
        </is>
      </c>
      <c r="B109" s="12" t="inlineStr">
        <is>
          <t>ReportService（申込実績の集計・CSV出力）</t>
        </is>
      </c>
      <c r="C109" s="12" t="inlineStr">
        <is>
          <t>正常系</t>
        </is>
      </c>
      <c r="D109" s="12" t="inlineStr">
        <is>
          <t>カンマ改行ダブルクォートを含む値はダブルクォートで囲まれる</t>
        </is>
      </c>
      <c r="E109" s="12" t="inlineStr">
        <is>
          <t>値にカンマ・改行・ダブルクォートを含む</t>
        </is>
      </c>
      <c r="F109" s="12" t="inlineStr">
        <is>
          <t>toCsv</t>
        </is>
      </c>
      <c r="G109" s="12" t="inlineStr">
        <is>
          <t>ダブルクォートで囲まれ、内部の"は""になる</t>
        </is>
      </c>
      <c r="H109" s="12" t="inlineStr">
        <is>
          <t>-</t>
        </is>
      </c>
      <c r="I109" s="12" t="inlineStr">
        <is>
          <t>-</t>
        </is>
      </c>
      <c r="J109" s="12" t="inlineStr">
        <is>
          <t>AP-130</t>
        </is>
      </c>
      <c r="K109" s="12" t="inlineStr">
        <is>
          <t>自動</t>
        </is>
      </c>
      <c r="L109" s="12" t="inlineStr">
        <is>
          <t>toCsv_境界_カンマ改行ダブルクォートを含む値はダブルクォートで囲まれる</t>
        </is>
      </c>
      <c r="M109" s="12" t="inlineStr">
        <is>
          <t>OK</t>
        </is>
      </c>
      <c r="N109" s="23" t="n">
        <v>46302</v>
      </c>
      <c r="O109" s="12" t="inlineStr">
        <is>
          <t>佐々木（Claude Code）</t>
        </is>
      </c>
      <c r="P109" s="12" t="inlineStr">
        <is>
          <t>自動テスト成功</t>
        </is>
      </c>
      <c r="Q109" s="12" t="inlineStr">
        <is>
          <t>evidence/UT/UT_バックエンド_結果一覧_20261007.txt</t>
        </is>
      </c>
      <c r="R109" s="12" t="n"/>
      <c r="S109" s="12" t="n"/>
      <c r="T109" s="12" t="n"/>
    </row>
    <row r="110" ht="27" customHeight="1">
      <c r="A110" s="12" t="inlineStr">
        <is>
          <t>UT-RPT-N07</t>
        </is>
      </c>
      <c r="B110" s="12" t="inlineStr">
        <is>
          <t>ReportService（申込実績の集計・CSV出力）</t>
        </is>
      </c>
      <c r="C110" s="12" t="inlineStr">
        <is>
          <t>正常系</t>
        </is>
      </c>
      <c r="D110" s="12" t="inlineStr">
        <is>
          <t>数式として解釈されうる先頭文字にはシングルクォートが付与される</t>
        </is>
      </c>
      <c r="E110" s="12" t="inlineStr">
        <is>
          <t>値の先頭が=・+・-・@・タブ・復帰のいずれか</t>
        </is>
      </c>
      <c r="F110" s="12" t="inlineStr">
        <is>
          <t>toCsv</t>
        </is>
      </c>
      <c r="G110" s="12" t="inlineStr">
        <is>
          <t>値の先頭に'が付与される</t>
        </is>
      </c>
      <c r="H110" s="12" t="inlineStr">
        <is>
          <t>-</t>
        </is>
      </c>
      <c r="I110" s="12" t="inlineStr">
        <is>
          <t>-</t>
        </is>
      </c>
      <c r="J110" s="12" t="inlineStr">
        <is>
          <t>AP-130、24_方式設計書 8章</t>
        </is>
      </c>
      <c r="K110" s="12" t="inlineStr">
        <is>
          <t>自動</t>
        </is>
      </c>
      <c r="L110" s="12" t="inlineStr">
        <is>
          <t>toCsv_境界_数式として解釈されうる先頭文字にはシングルクォートが付与される</t>
        </is>
      </c>
      <c r="M110" s="12" t="inlineStr">
        <is>
          <t>OK</t>
        </is>
      </c>
      <c r="N110" s="23" t="n">
        <v>46302</v>
      </c>
      <c r="O110" s="12" t="inlineStr">
        <is>
          <t>佐々木（Claude Code）</t>
        </is>
      </c>
      <c r="P110" s="12" t="inlineStr">
        <is>
          <t>自動テスト成功</t>
        </is>
      </c>
      <c r="Q110" s="12" t="inlineStr">
        <is>
          <t>evidence/UT/UT_バックエンド_結果一覧_20261007.txt</t>
        </is>
      </c>
      <c r="R110" s="12" t="n"/>
      <c r="S110" s="12" t="n"/>
      <c r="T110" s="12" t="n"/>
    </row>
    <row r="111" ht="27" customHeight="1">
      <c r="A111" s="12" t="inlineStr">
        <is>
          <t>UT-RPT-N08</t>
        </is>
      </c>
      <c r="B111" s="12" t="inlineStr">
        <is>
          <t>ReportService（申込実績の集計・CSV出力）</t>
        </is>
      </c>
      <c r="C111" s="12" t="inlineStr">
        <is>
          <t>正常系</t>
        </is>
      </c>
      <c r="D111" s="12" t="inlineStr">
        <is>
          <t>先頭以外の記号にはシングルクォートが付与されない</t>
        </is>
      </c>
      <c r="E111" s="12" t="inlineStr">
        <is>
          <t>値の途中（先頭以外）に=・+・-・@を含む</t>
        </is>
      </c>
      <c r="F111" s="12" t="inlineStr">
        <is>
          <t>toCsv</t>
        </is>
      </c>
      <c r="G111" s="12" t="inlineStr">
        <is>
          <t>'は付与されない</t>
        </is>
      </c>
      <c r="H111" s="12" t="inlineStr">
        <is>
          <t>-</t>
        </is>
      </c>
      <c r="I111" s="12" t="inlineStr">
        <is>
          <t>-</t>
        </is>
      </c>
      <c r="J111" s="12" t="inlineStr">
        <is>
          <t>AP-130、24_方式設計書 8章</t>
        </is>
      </c>
      <c r="K111" s="12" t="inlineStr">
        <is>
          <t>自動</t>
        </is>
      </c>
      <c r="L111" s="12" t="inlineStr">
        <is>
          <t>toCsv_境界_先頭以外の記号にはシングルクォートが付与されない</t>
        </is>
      </c>
      <c r="M111" s="12" t="inlineStr">
        <is>
          <t>OK</t>
        </is>
      </c>
      <c r="N111" s="23" t="n">
        <v>46302</v>
      </c>
      <c r="O111" s="12" t="inlineStr">
        <is>
          <t>佐々木（Claude Code）</t>
        </is>
      </c>
      <c r="P111" s="12" t="inlineStr">
        <is>
          <t>自動テスト成功</t>
        </is>
      </c>
      <c r="Q111" s="12" t="inlineStr">
        <is>
          <t>evidence/UT/UT_バックエンド_結果一覧_20261007.txt</t>
        </is>
      </c>
      <c r="R111" s="12" t="n"/>
      <c r="S111" s="12" t="n"/>
      <c r="T111" s="12" t="n"/>
    </row>
    <row r="112" ht="27" customHeight="1">
      <c r="A112" s="12" t="inlineStr">
        <is>
          <t>UT-FORM-N01</t>
        </is>
      </c>
      <c r="B112" s="12" t="inlineStr">
        <is>
          <t>イベント登録・編集（SC-121）</t>
        </is>
      </c>
      <c r="C112" s="12" t="inlineStr">
        <is>
          <t>正常系</t>
        </is>
      </c>
      <c r="D112" s="12" t="inlineStr">
        <is>
          <t>新規登録モード: idが無ければeditModeはfalse</t>
        </is>
      </c>
      <c r="E112" s="12" t="inlineStr">
        <is>
          <t>-</t>
        </is>
      </c>
      <c r="F112" s="12" t="inlineStr">
        <is>
          <t>-</t>
        </is>
      </c>
      <c r="G112" s="12" t="inlineStr">
        <is>
          <t>新規登録モード: idが無ければeditModeはfalse</t>
        </is>
      </c>
      <c r="H112" s="12" t="inlineStr">
        <is>
          <t>-</t>
        </is>
      </c>
      <c r="I112" s="12" t="inlineStr">
        <is>
          <t>-</t>
        </is>
      </c>
      <c r="J112" s="12" t="inlineStr">
        <is>
          <t>30_画面詳細設計書</t>
        </is>
      </c>
      <c r="K112" s="12" t="inlineStr">
        <is>
          <t>自動</t>
        </is>
      </c>
      <c r="L112" s="12" t="inlineStr">
        <is>
          <t>admin/admin-event-form/admin-event-form.spec.ts</t>
        </is>
      </c>
      <c r="M112" s="12" t="inlineStr">
        <is>
          <t>OK</t>
        </is>
      </c>
      <c r="N112" s="23" t="n">
        <v>46302</v>
      </c>
      <c r="O112" s="12" t="inlineStr">
        <is>
          <t>佐々木（Claude Code）</t>
        </is>
      </c>
      <c r="P112" s="12" t="inlineStr">
        <is>
          <t>自動テスト成功</t>
        </is>
      </c>
      <c r="Q112" s="12" t="inlineStr">
        <is>
          <t>evidence/UT/UT_フロントエンド_結果一覧_20261007.txt</t>
        </is>
      </c>
      <c r="R112" s="12" t="n"/>
      <c r="S112" s="12" t="n"/>
      <c r="T112" s="12" t="n"/>
    </row>
    <row r="113" ht="27" customHeight="1">
      <c r="A113" s="12" t="inlineStr">
        <is>
          <t>UT-FORM-N02</t>
        </is>
      </c>
      <c r="B113" s="12" t="inlineStr">
        <is>
          <t>イベント登録・編集（SC-121）</t>
        </is>
      </c>
      <c r="C113" s="12" t="inlineStr">
        <is>
          <t>正常系</t>
        </is>
      </c>
      <c r="D113" s="12" t="inlineStr">
        <is>
          <t>編集モード: idがあればイベント詳細を取得しフォームへ反映する</t>
        </is>
      </c>
      <c r="E113" s="12" t="inlineStr">
        <is>
          <t>-</t>
        </is>
      </c>
      <c r="F113" s="12" t="inlineStr">
        <is>
          <t>-</t>
        </is>
      </c>
      <c r="G113" s="12" t="inlineStr">
        <is>
          <t>編集モード: idがあればイベント詳細を取得しフォームへ反映する</t>
        </is>
      </c>
      <c r="H113" s="12" t="inlineStr">
        <is>
          <t>-</t>
        </is>
      </c>
      <c r="I113" s="12" t="inlineStr">
        <is>
          <t>-</t>
        </is>
      </c>
      <c r="J113" s="12" t="inlineStr">
        <is>
          <t>30_画面詳細設計書</t>
        </is>
      </c>
      <c r="K113" s="12" t="inlineStr">
        <is>
          <t>自動</t>
        </is>
      </c>
      <c r="L113" s="12" t="inlineStr">
        <is>
          <t>admin/admin-event-form/admin-event-form.spec.ts</t>
        </is>
      </c>
      <c r="M113" s="12" t="inlineStr">
        <is>
          <t>OK</t>
        </is>
      </c>
      <c r="N113" s="23" t="n">
        <v>46302</v>
      </c>
      <c r="O113" s="12" t="inlineStr">
        <is>
          <t>佐々木（Claude Code）</t>
        </is>
      </c>
      <c r="P113" s="12" t="inlineStr">
        <is>
          <t>自動テスト成功</t>
        </is>
      </c>
      <c r="Q113" s="12" t="inlineStr">
        <is>
          <t>evidence/UT/UT_フロントエンド_結果一覧_20261007.txt</t>
        </is>
      </c>
      <c r="R113" s="12" t="n"/>
      <c r="S113" s="12" t="n"/>
      <c r="T113" s="12" t="n"/>
    </row>
    <row r="114" ht="27" customHeight="1">
      <c r="A114" s="12" t="inlineStr">
        <is>
          <t>UT-FORM-N03</t>
        </is>
      </c>
      <c r="B114" s="12" t="inlineStr">
        <is>
          <t>イベント登録・編集（SC-121）</t>
        </is>
      </c>
      <c r="C114" s="12" t="inlineStr">
        <is>
          <t>正常系</t>
        </is>
      </c>
      <c r="D114" s="12" t="inlineStr">
        <is>
          <t>参加区分: addTicketTypeで行が増える</t>
        </is>
      </c>
      <c r="E114" s="12" t="inlineStr">
        <is>
          <t>-</t>
        </is>
      </c>
      <c r="F114" s="12" t="inlineStr">
        <is>
          <t>-</t>
        </is>
      </c>
      <c r="G114" s="12" t="inlineStr">
        <is>
          <t>参加区分: addTicketTypeで行が増える</t>
        </is>
      </c>
      <c r="H114" s="12" t="inlineStr">
        <is>
          <t>-</t>
        </is>
      </c>
      <c r="I114" s="12" t="inlineStr">
        <is>
          <t>-</t>
        </is>
      </c>
      <c r="J114" s="12" t="inlineStr">
        <is>
          <t>30_画面詳細設計書</t>
        </is>
      </c>
      <c r="K114" s="12" t="inlineStr">
        <is>
          <t>自動</t>
        </is>
      </c>
      <c r="L114" s="12" t="inlineStr">
        <is>
          <t>admin/admin-event-form/admin-event-form.spec.ts</t>
        </is>
      </c>
      <c r="M114" s="12" t="inlineStr">
        <is>
          <t>OK</t>
        </is>
      </c>
      <c r="N114" s="23" t="n">
        <v>46302</v>
      </c>
      <c r="O114" s="12" t="inlineStr">
        <is>
          <t>佐々木（Claude Code）</t>
        </is>
      </c>
      <c r="P114" s="12" t="inlineStr">
        <is>
          <t>自動テスト成功</t>
        </is>
      </c>
      <c r="Q114" s="12" t="inlineStr">
        <is>
          <t>evidence/UT/UT_フロントエンド_結果一覧_20261007.txt</t>
        </is>
      </c>
      <c r="R114" s="12" t="n"/>
      <c r="S114" s="12" t="n"/>
      <c r="T114" s="12" t="n"/>
    </row>
    <row r="115" ht="27" customHeight="1">
      <c r="A115" s="12" t="inlineStr">
        <is>
          <t>UT-FORM-N04</t>
        </is>
      </c>
      <c r="B115" s="12" t="inlineStr">
        <is>
          <t>イベント登録・編集（SC-121）</t>
        </is>
      </c>
      <c r="C115" s="12" t="inlineStr">
        <is>
          <t>正常系</t>
        </is>
      </c>
      <c r="D115" s="12" t="inlineStr">
        <is>
          <t>参加区分: removeTicketTypeで行が減る</t>
        </is>
      </c>
      <c r="E115" s="12" t="inlineStr">
        <is>
          <t>-</t>
        </is>
      </c>
      <c r="F115" s="12" t="inlineStr">
        <is>
          <t>-</t>
        </is>
      </c>
      <c r="G115" s="12" t="inlineStr">
        <is>
          <t>参加区分: removeTicketTypeで行が減る</t>
        </is>
      </c>
      <c r="H115" s="12" t="inlineStr">
        <is>
          <t>-</t>
        </is>
      </c>
      <c r="I115" s="12" t="inlineStr">
        <is>
          <t>-</t>
        </is>
      </c>
      <c r="J115" s="12" t="inlineStr">
        <is>
          <t>30_画面詳細設計書</t>
        </is>
      </c>
      <c r="K115" s="12" t="inlineStr">
        <is>
          <t>自動</t>
        </is>
      </c>
      <c r="L115" s="12" t="inlineStr">
        <is>
          <t>admin/admin-event-form/admin-event-form.spec.ts</t>
        </is>
      </c>
      <c r="M115" s="12" t="inlineStr">
        <is>
          <t>OK</t>
        </is>
      </c>
      <c r="N115" s="23" t="n">
        <v>46302</v>
      </c>
      <c r="O115" s="12" t="inlineStr">
        <is>
          <t>佐々木（Claude Code）</t>
        </is>
      </c>
      <c r="P115" s="12" t="inlineStr">
        <is>
          <t>自動テスト成功</t>
        </is>
      </c>
      <c r="Q115" s="12" t="inlineStr">
        <is>
          <t>evidence/UT/UT_フロントエンド_結果一覧_20261007.txt</t>
        </is>
      </c>
      <c r="R115" s="12" t="n"/>
      <c r="S115" s="12" t="n"/>
      <c r="T115" s="12" t="n"/>
    </row>
    <row r="116" ht="27" customHeight="1">
      <c r="A116" s="12" t="inlineStr">
        <is>
          <t>UT-FORM-N05</t>
        </is>
      </c>
      <c r="B116" s="12" t="inlineStr">
        <is>
          <t>イベント登録・編集（SC-121）</t>
        </is>
      </c>
      <c r="C116" s="12" t="inlineStr">
        <is>
          <t>正常系</t>
        </is>
      </c>
      <c r="D116" s="12" t="inlineStr">
        <is>
          <t>参加区分の定員合計が正しく計算される</t>
        </is>
      </c>
      <c r="E116" s="12" t="inlineStr">
        <is>
          <t>-</t>
        </is>
      </c>
      <c r="F116" s="12" t="inlineStr">
        <is>
          <t>-</t>
        </is>
      </c>
      <c r="G116" s="12" t="inlineStr">
        <is>
          <t>参加区分の定員合計が正しく計算される</t>
        </is>
      </c>
      <c r="H116" s="12" t="inlineStr">
        <is>
          <t>-</t>
        </is>
      </c>
      <c r="I116" s="12" t="inlineStr">
        <is>
          <t>-</t>
        </is>
      </c>
      <c r="J116" s="12" t="inlineStr">
        <is>
          <t>30_画面詳細設計書</t>
        </is>
      </c>
      <c r="K116" s="12" t="inlineStr">
        <is>
          <t>自動</t>
        </is>
      </c>
      <c r="L116" s="12" t="inlineStr">
        <is>
          <t>admin/admin-event-form/admin-event-form.spec.ts</t>
        </is>
      </c>
      <c r="M116" s="12" t="inlineStr">
        <is>
          <t>OK</t>
        </is>
      </c>
      <c r="N116" s="23" t="n">
        <v>46302</v>
      </c>
      <c r="O116" s="12" t="inlineStr">
        <is>
          <t>佐々木（Claude Code）</t>
        </is>
      </c>
      <c r="P116" s="12" t="inlineStr">
        <is>
          <t>自動テスト成功</t>
        </is>
      </c>
      <c r="Q116" s="12" t="inlineStr">
        <is>
          <t>evidence/UT/UT_フロントエンド_結果一覧_20261007.txt</t>
        </is>
      </c>
      <c r="R116" s="12" t="n"/>
      <c r="S116" s="12" t="n"/>
      <c r="T116" s="12" t="n"/>
    </row>
    <row r="117" ht="27" customHeight="1">
      <c r="A117" s="12" t="inlineStr">
        <is>
          <t>UT-FORM-N06</t>
        </is>
      </c>
      <c r="B117" s="12" t="inlineStr">
        <is>
          <t>イベント登録・編集（SC-121）</t>
        </is>
      </c>
      <c r="C117" s="12" t="inlineStr">
        <is>
          <t>正常系</t>
        </is>
      </c>
      <c r="D117" s="12" t="inlineStr">
        <is>
          <t>複製元がある場合、開催日時・申込締切を除く項目が複写される</t>
        </is>
      </c>
      <c r="E117" s="12" t="inlineStr">
        <is>
          <t>-</t>
        </is>
      </c>
      <c r="F117" s="12" t="inlineStr">
        <is>
          <t>-</t>
        </is>
      </c>
      <c r="G117" s="12" t="inlineStr">
        <is>
          <t>複製元がある場合、開催日時・申込締切を除く項目が複写される</t>
        </is>
      </c>
      <c r="H117" s="12" t="inlineStr">
        <is>
          <t>-</t>
        </is>
      </c>
      <c r="I117" s="12" t="inlineStr">
        <is>
          <t>-</t>
        </is>
      </c>
      <c r="J117" s="12" t="inlineStr">
        <is>
          <t>30_画面詳細設計書</t>
        </is>
      </c>
      <c r="K117" s="12" t="inlineStr">
        <is>
          <t>自動</t>
        </is>
      </c>
      <c r="L117" s="12" t="inlineStr">
        <is>
          <t>admin/admin-event-form/admin-event-form.spec.ts</t>
        </is>
      </c>
      <c r="M117" s="12" t="inlineStr">
        <is>
          <t>OK</t>
        </is>
      </c>
      <c r="N117" s="23" t="n">
        <v>46302</v>
      </c>
      <c r="O117" s="12" t="inlineStr">
        <is>
          <t>佐々木（Claude Code）</t>
        </is>
      </c>
      <c r="P117" s="12" t="inlineStr">
        <is>
          <t>自動テスト成功</t>
        </is>
      </c>
      <c r="Q117" s="12" t="inlineStr">
        <is>
          <t>evidence/UT/UT_フロントエンド_結果一覧_20261007.txt</t>
        </is>
      </c>
      <c r="R117" s="12" t="n"/>
      <c r="S117" s="12" t="n"/>
      <c r="T117" s="12" t="n"/>
    </row>
    <row r="118" ht="27" customHeight="1">
      <c r="A118" s="12" t="inlineStr">
        <is>
          <t>UT-FORM-N07</t>
        </is>
      </c>
      <c r="B118" s="12" t="inlineStr">
        <is>
          <t>イベント登録・編集（SC-121）</t>
        </is>
      </c>
      <c r="C118" s="12" t="inlineStr">
        <is>
          <t>正常系</t>
        </is>
      </c>
      <c r="D118" s="12" t="inlineStr">
        <is>
          <t>複製元が無い場合は何も複写されない</t>
        </is>
      </c>
      <c r="E118" s="12" t="inlineStr">
        <is>
          <t>-</t>
        </is>
      </c>
      <c r="F118" s="12" t="inlineStr">
        <is>
          <t>-</t>
        </is>
      </c>
      <c r="G118" s="12" t="inlineStr">
        <is>
          <t>複製元が無い場合は何も複写されない</t>
        </is>
      </c>
      <c r="H118" s="12" t="inlineStr">
        <is>
          <t>-</t>
        </is>
      </c>
      <c r="I118" s="12" t="inlineStr">
        <is>
          <t>-</t>
        </is>
      </c>
      <c r="J118" s="12" t="inlineStr">
        <is>
          <t>30_画面詳細設計書</t>
        </is>
      </c>
      <c r="K118" s="12" t="inlineStr">
        <is>
          <t>自動</t>
        </is>
      </c>
      <c r="L118" s="12" t="inlineStr">
        <is>
          <t>admin/admin-event-form/admin-event-form.spec.ts</t>
        </is>
      </c>
      <c r="M118" s="12" t="inlineStr">
        <is>
          <t>OK</t>
        </is>
      </c>
      <c r="N118" s="23" t="n">
        <v>46302</v>
      </c>
      <c r="O118" s="12" t="inlineStr">
        <is>
          <t>佐々木（Claude Code）</t>
        </is>
      </c>
      <c r="P118" s="12" t="inlineStr">
        <is>
          <t>自動テスト成功</t>
        </is>
      </c>
      <c r="Q118" s="12" t="inlineStr">
        <is>
          <t>evidence/UT/UT_フロントエンド_結果一覧_20261007.txt</t>
        </is>
      </c>
      <c r="R118" s="12" t="n"/>
      <c r="S118" s="12" t="n"/>
      <c r="T118" s="12" t="n"/>
    </row>
    <row r="119" ht="27" customHeight="1">
      <c r="A119" s="12" t="inlineStr">
        <is>
          <t>UT-FORM-N08</t>
        </is>
      </c>
      <c r="B119" s="12" t="inlineStr">
        <is>
          <t>イベント登録・編集（SC-121）</t>
        </is>
      </c>
      <c r="C119" s="12" t="inlineStr">
        <is>
          <t>正常系</t>
        </is>
      </c>
      <c r="D119" s="12" t="inlineStr">
        <is>
          <t>保存成功時はイベント一覧へ遷移する</t>
        </is>
      </c>
      <c r="E119" s="12" t="inlineStr">
        <is>
          <t>-</t>
        </is>
      </c>
      <c r="F119" s="12" t="inlineStr">
        <is>
          <t>-</t>
        </is>
      </c>
      <c r="G119" s="12" t="inlineStr">
        <is>
          <t>保存成功時はイベント一覧へ遷移する</t>
        </is>
      </c>
      <c r="H119" s="12" t="inlineStr">
        <is>
          <t>-</t>
        </is>
      </c>
      <c r="I119" s="12" t="inlineStr">
        <is>
          <t>-</t>
        </is>
      </c>
      <c r="J119" s="12" t="inlineStr">
        <is>
          <t>30_画面詳細設計書</t>
        </is>
      </c>
      <c r="K119" s="12" t="inlineStr">
        <is>
          <t>自動</t>
        </is>
      </c>
      <c r="L119" s="12" t="inlineStr">
        <is>
          <t>admin/admin-event-form/admin-event-form.spec.ts</t>
        </is>
      </c>
      <c r="M119" s="12" t="inlineStr">
        <is>
          <t>OK</t>
        </is>
      </c>
      <c r="N119" s="23" t="n">
        <v>46302</v>
      </c>
      <c r="O119" s="12" t="inlineStr">
        <is>
          <t>佐々木（Claude Code）</t>
        </is>
      </c>
      <c r="P119" s="12" t="inlineStr">
        <is>
          <t>自動テスト成功</t>
        </is>
      </c>
      <c r="Q119" s="12" t="inlineStr">
        <is>
          <t>evidence/UT/UT_フロントエンド_結果一覧_20261007.txt</t>
        </is>
      </c>
      <c r="R119" s="12" t="n"/>
      <c r="S119" s="12" t="n"/>
      <c r="T119" s="12" t="n"/>
    </row>
    <row r="120" ht="27" customHeight="1">
      <c r="A120" s="12" t="inlineStr">
        <is>
          <t>UT-FORM-N09</t>
        </is>
      </c>
      <c r="B120" s="12" t="inlineStr">
        <is>
          <t>イベント登録・編集（SC-121）</t>
        </is>
      </c>
      <c r="C120" s="12" t="inlineStr">
        <is>
          <t>正常系</t>
        </is>
      </c>
      <c r="D120" s="12" t="inlineStr">
        <is>
          <t>編集モード: 区分を変更せずに保存すると、ticketTypesを送らない</t>
        </is>
      </c>
      <c r="E120" s="12" t="inlineStr">
        <is>
          <t>-</t>
        </is>
      </c>
      <c r="F120" s="12" t="inlineStr">
        <is>
          <t>-</t>
        </is>
      </c>
      <c r="G120" s="12" t="inlineStr">
        <is>
          <t>編集モード: 区分を変更せずに保存すると、ticketTypesを送らない</t>
        </is>
      </c>
      <c r="H120" s="12" t="inlineStr">
        <is>
          <t>-</t>
        </is>
      </c>
      <c r="I120" s="12" t="inlineStr">
        <is>
          <t>-</t>
        </is>
      </c>
      <c r="J120" s="12" t="inlineStr">
        <is>
          <t>30_画面詳細設計書 SC-121 補足、31_API詳細設計書 AP-121</t>
        </is>
      </c>
      <c r="K120" s="12" t="inlineStr">
        <is>
          <t>自動</t>
        </is>
      </c>
      <c r="L120" s="12" t="inlineStr">
        <is>
          <t>admin/admin-event-form/admin-event-form.spec.ts</t>
        </is>
      </c>
      <c r="M120" s="12" t="inlineStr">
        <is>
          <t>OK</t>
        </is>
      </c>
      <c r="N120" s="23" t="n">
        <v>46309</v>
      </c>
      <c r="O120" s="12" t="inlineStr">
        <is>
          <t>佐々木（Claude Code）</t>
        </is>
      </c>
      <c r="P120" s="12" t="inlineStr">
        <is>
          <t>自動テスト成功。Issue #19 の修正に伴い追加したテスト</t>
        </is>
      </c>
      <c r="Q120" s="12" t="inlineStr">
        <is>
          <t>evidence/UT/UT_フロントエンド_結果一覧_20261014.txt</t>
        </is>
      </c>
      <c r="R120" s="12" t="n"/>
      <c r="S120" s="12" t="n"/>
      <c r="T120" s="12" t="n"/>
    </row>
    <row r="121" ht="27" customHeight="1">
      <c r="A121" s="12" t="inlineStr">
        <is>
          <t>UT-FORM-N10</t>
        </is>
      </c>
      <c r="B121" s="12" t="inlineStr">
        <is>
          <t>イベント登録・編集（SC-121）</t>
        </is>
      </c>
      <c r="C121" s="12" t="inlineStr">
        <is>
          <t>正常系</t>
        </is>
      </c>
      <c r="D121" s="12" t="inlineStr">
        <is>
          <t>編集モード: 区分の無いイベントを、区分を追加せずに保存すると、ticketTypesを送らない</t>
        </is>
      </c>
      <c r="E121" s="12" t="inlineStr">
        <is>
          <t>-</t>
        </is>
      </c>
      <c r="F121" s="12" t="inlineStr">
        <is>
          <t>-</t>
        </is>
      </c>
      <c r="G121" s="12" t="inlineStr">
        <is>
          <t>編集モード: 区分の無いイベントを、区分を追加せずに保存すると、ticketTypesを送らない</t>
        </is>
      </c>
      <c r="H121" s="12" t="inlineStr">
        <is>
          <t>-</t>
        </is>
      </c>
      <c r="I121" s="12" t="inlineStr">
        <is>
          <t>-</t>
        </is>
      </c>
      <c r="J121" s="12" t="inlineStr">
        <is>
          <t>30_画面詳細設計書 SC-121 補足、31_API詳細設計書 AP-121</t>
        </is>
      </c>
      <c r="K121" s="12" t="inlineStr">
        <is>
          <t>自動</t>
        </is>
      </c>
      <c r="L121" s="12" t="inlineStr">
        <is>
          <t>admin/admin-event-form/admin-event-form.spec.ts</t>
        </is>
      </c>
      <c r="M121" s="12" t="inlineStr">
        <is>
          <t>OK</t>
        </is>
      </c>
      <c r="N121" s="23" t="n">
        <v>46309</v>
      </c>
      <c r="O121" s="12" t="inlineStr">
        <is>
          <t>佐々木（Claude Code）</t>
        </is>
      </c>
      <c r="P121" s="12" t="inlineStr">
        <is>
          <t>自動テスト成功。Issue #19 の修正に伴い追加したテスト</t>
        </is>
      </c>
      <c r="Q121" s="12" t="inlineStr">
        <is>
          <t>evidence/UT/UT_フロントエンド_結果一覧_20261014.txt</t>
        </is>
      </c>
      <c r="R121" s="12" t="n"/>
      <c r="S121" s="12" t="n"/>
      <c r="T121" s="12" t="n"/>
    </row>
    <row r="122" ht="27" customHeight="1">
      <c r="A122" s="12" t="inlineStr">
        <is>
          <t>UT-FORM-N11</t>
        </is>
      </c>
      <c r="B122" s="12" t="inlineStr">
        <is>
          <t>イベント登録・編集（SC-121）</t>
        </is>
      </c>
      <c r="C122" s="12" t="inlineStr">
        <is>
          <t>正常系</t>
        </is>
      </c>
      <c r="D122" s="12" t="inlineStr">
        <is>
          <t>編集モード: 区分を変更して保存すると、変更後のticketTypesを送る</t>
        </is>
      </c>
      <c r="E122" s="12" t="inlineStr">
        <is>
          <t>-</t>
        </is>
      </c>
      <c r="F122" s="12" t="inlineStr">
        <is>
          <t>-</t>
        </is>
      </c>
      <c r="G122" s="12" t="inlineStr">
        <is>
          <t>編集モード: 区分を変更して保存すると、変更後のticketTypesを送る</t>
        </is>
      </c>
      <c r="H122" s="12" t="inlineStr">
        <is>
          <t>-</t>
        </is>
      </c>
      <c r="I122" s="12" t="inlineStr">
        <is>
          <t>-</t>
        </is>
      </c>
      <c r="J122" s="12" t="inlineStr">
        <is>
          <t>30_画面詳細設計書 SC-121 補足、31_API詳細設計書 AP-121</t>
        </is>
      </c>
      <c r="K122" s="12" t="inlineStr">
        <is>
          <t>自動</t>
        </is>
      </c>
      <c r="L122" s="12" t="inlineStr">
        <is>
          <t>admin/admin-event-form/admin-event-form.spec.ts</t>
        </is>
      </c>
      <c r="M122" s="12" t="inlineStr">
        <is>
          <t>OK</t>
        </is>
      </c>
      <c r="N122" s="23" t="n">
        <v>46309</v>
      </c>
      <c r="O122" s="12" t="inlineStr">
        <is>
          <t>佐々木（Claude Code）</t>
        </is>
      </c>
      <c r="P122" s="12" t="inlineStr">
        <is>
          <t>自動テスト成功。Issue #19 の修正に伴い追加したテスト</t>
        </is>
      </c>
      <c r="Q122" s="12" t="inlineStr">
        <is>
          <t>evidence/UT/UT_フロントエンド_結果一覧_20261014.txt</t>
        </is>
      </c>
      <c r="R122" s="12" t="n"/>
      <c r="S122" s="12" t="n"/>
      <c r="T122" s="12" t="n"/>
    </row>
    <row r="123" ht="27" customHeight="1">
      <c r="A123" s="12" t="inlineStr">
        <is>
          <t>UT-FORM-E01</t>
        </is>
      </c>
      <c r="B123" s="12" t="inlineStr">
        <is>
          <t>イベント登録・編集（SC-121）</t>
        </is>
      </c>
      <c r="C123" s="12" t="inlineStr">
        <is>
          <t>異常系</t>
        </is>
      </c>
      <c r="D123" s="12" t="inlineStr">
        <is>
          <t>バリデーション: 必須項目が未入力の場合form.invalid</t>
        </is>
      </c>
      <c r="E123" s="12" t="inlineStr">
        <is>
          <t>-</t>
        </is>
      </c>
      <c r="F123" s="12" t="inlineStr">
        <is>
          <t>-</t>
        </is>
      </c>
      <c r="G123" s="12" t="inlineStr">
        <is>
          <t>バリデーション: 必須項目が未入力の場合form.invalid</t>
        </is>
      </c>
      <c r="H123" s="12" t="inlineStr">
        <is>
          <t>-</t>
        </is>
      </c>
      <c r="I123" s="12" t="inlineStr">
        <is>
          <t>-</t>
        </is>
      </c>
      <c r="J123" s="12" t="inlineStr">
        <is>
          <t>30_画面詳細設計書</t>
        </is>
      </c>
      <c r="K123" s="12" t="inlineStr">
        <is>
          <t>自動</t>
        </is>
      </c>
      <c r="L123" s="12" t="inlineStr">
        <is>
          <t>admin/admin-event-form/admin-event-form.spec.ts</t>
        </is>
      </c>
      <c r="M123" s="12" t="inlineStr">
        <is>
          <t>OK</t>
        </is>
      </c>
      <c r="N123" s="23" t="n">
        <v>46302</v>
      </c>
      <c r="O123" s="12" t="inlineStr">
        <is>
          <t>佐々木（Claude Code）</t>
        </is>
      </c>
      <c r="P123" s="12" t="inlineStr">
        <is>
          <t>自動テスト成功</t>
        </is>
      </c>
      <c r="Q123" s="12" t="inlineStr">
        <is>
          <t>evidence/UT/UT_フロントエンド_結果一覧_20261007.txt</t>
        </is>
      </c>
      <c r="R123" s="12" t="n"/>
      <c r="S123" s="12" t="n"/>
      <c r="T123" s="12" t="n"/>
    </row>
    <row r="124" ht="27" customHeight="1">
      <c r="A124" s="12" t="inlineStr">
        <is>
          <t>UT-FORM-E02</t>
        </is>
      </c>
      <c r="B124" s="12" t="inlineStr">
        <is>
          <t>イベント登録・編集（SC-121）</t>
        </is>
      </c>
      <c r="C124" s="12" t="inlineStr">
        <is>
          <t>異常系</t>
        </is>
      </c>
      <c r="D124" s="12" t="inlineStr">
        <is>
          <t>保存時に入力値エラー（400）が返るとfieldErrorsに反映される</t>
        </is>
      </c>
      <c r="E124" s="12" t="inlineStr">
        <is>
          <t>-</t>
        </is>
      </c>
      <c r="F124" s="12" t="inlineStr">
        <is>
          <t>-</t>
        </is>
      </c>
      <c r="G124" s="12" t="inlineStr">
        <is>
          <t>保存時に入力値エラー（400）が返るとfieldErrorsに反映される</t>
        </is>
      </c>
      <c r="H124" s="12" t="inlineStr">
        <is>
          <t>-</t>
        </is>
      </c>
      <c r="I124" s="12" t="inlineStr">
        <is>
          <t>-</t>
        </is>
      </c>
      <c r="J124" s="12" t="inlineStr">
        <is>
          <t>30_画面詳細設計書</t>
        </is>
      </c>
      <c r="K124" s="12" t="inlineStr">
        <is>
          <t>自動</t>
        </is>
      </c>
      <c r="L124" s="12" t="inlineStr">
        <is>
          <t>admin/admin-event-form/admin-event-form.spec.ts</t>
        </is>
      </c>
      <c r="M124" s="12" t="inlineStr">
        <is>
          <t>OK</t>
        </is>
      </c>
      <c r="N124" s="23" t="n">
        <v>46302</v>
      </c>
      <c r="O124" s="12" t="inlineStr">
        <is>
          <t>佐々木（Claude Code）</t>
        </is>
      </c>
      <c r="P124" s="12" t="inlineStr">
        <is>
          <t>自動テスト成功</t>
        </is>
      </c>
      <c r="Q124" s="12" t="inlineStr">
        <is>
          <t>evidence/UT/UT_フロントエンド_結果一覧_20261007.txt</t>
        </is>
      </c>
      <c r="R124" s="12" t="n"/>
      <c r="S124" s="12" t="n"/>
      <c r="T124" s="12" t="n"/>
    </row>
    <row r="125" ht="27" customHeight="1">
      <c r="A125" s="12" t="inlineStr">
        <is>
          <t>UT-LIST-N01</t>
        </is>
      </c>
      <c r="B125" s="12" t="inlineStr">
        <is>
          <t>イベント一覧（SC-020）</t>
        </is>
      </c>
      <c r="C125" s="12" t="inlineStr">
        <is>
          <t>正常系</t>
        </is>
      </c>
      <c r="D125" s="12" t="inlineStr">
        <is>
          <t>初期表示でイベント一覧を取得する</t>
        </is>
      </c>
      <c r="E125" s="12" t="inlineStr">
        <is>
          <t>-</t>
        </is>
      </c>
      <c r="F125" s="12" t="inlineStr">
        <is>
          <t>-</t>
        </is>
      </c>
      <c r="G125" s="12" t="inlineStr">
        <is>
          <t>初期表示でイベント一覧を取得する</t>
        </is>
      </c>
      <c r="H125" s="12" t="inlineStr">
        <is>
          <t>-</t>
        </is>
      </c>
      <c r="I125" s="12" t="inlineStr">
        <is>
          <t>-</t>
        </is>
      </c>
      <c r="J125" s="12" t="inlineStr">
        <is>
          <t>30_画面詳細設計書</t>
        </is>
      </c>
      <c r="K125" s="12" t="inlineStr">
        <is>
          <t>自動</t>
        </is>
      </c>
      <c r="L125" s="12" t="inlineStr">
        <is>
          <t>events/event-list/event-list.spec.ts</t>
        </is>
      </c>
      <c r="M125" s="12" t="inlineStr">
        <is>
          <t>OK</t>
        </is>
      </c>
      <c r="N125" s="23" t="n">
        <v>46302</v>
      </c>
      <c r="O125" s="12" t="inlineStr">
        <is>
          <t>佐々木（Claude Code）</t>
        </is>
      </c>
      <c r="P125" s="12" t="inlineStr">
        <is>
          <t>自動テスト成功</t>
        </is>
      </c>
      <c r="Q125" s="12" t="inlineStr">
        <is>
          <t>evidence/UT/UT_フロントエンド_結果一覧_20261007.txt</t>
        </is>
      </c>
      <c r="R125" s="12" t="n"/>
      <c r="S125" s="12" t="n"/>
      <c r="T125" s="12" t="n"/>
    </row>
    <row r="126" ht="27" customHeight="1">
      <c r="A126" s="12" t="inlineStr">
        <is>
          <t>UT-LIST-N02</t>
        </is>
      </c>
      <c r="B126" s="12" t="inlineStr">
        <is>
          <t>イベント一覧（SC-020）</t>
        </is>
      </c>
      <c r="C126" s="12" t="inlineStr">
        <is>
          <t>正常系</t>
        </is>
      </c>
      <c r="D126" s="12" t="inlineStr">
        <is>
          <t>並び替え: 既定は開催日時昇順</t>
        </is>
      </c>
      <c r="E126" s="12" t="inlineStr">
        <is>
          <t>-</t>
        </is>
      </c>
      <c r="F126" s="12" t="inlineStr">
        <is>
          <t>-</t>
        </is>
      </c>
      <c r="G126" s="12" t="inlineStr">
        <is>
          <t>並び替え: 既定は開催日時昇順</t>
        </is>
      </c>
      <c r="H126" s="12" t="inlineStr">
        <is>
          <t>-</t>
        </is>
      </c>
      <c r="I126" s="12" t="inlineStr">
        <is>
          <t>-</t>
        </is>
      </c>
      <c r="J126" s="12" t="inlineStr">
        <is>
          <t>30_画面詳細設計書</t>
        </is>
      </c>
      <c r="K126" s="12" t="inlineStr">
        <is>
          <t>自動</t>
        </is>
      </c>
      <c r="L126" s="12" t="inlineStr">
        <is>
          <t>events/event-list/event-list.spec.ts</t>
        </is>
      </c>
      <c r="M126" s="12" t="inlineStr">
        <is>
          <t>OK</t>
        </is>
      </c>
      <c r="N126" s="23" t="n">
        <v>46302</v>
      </c>
      <c r="O126" s="12" t="inlineStr">
        <is>
          <t>佐々木（Claude Code）</t>
        </is>
      </c>
      <c r="P126" s="12" t="inlineStr">
        <is>
          <t>自動テスト成功</t>
        </is>
      </c>
      <c r="Q126" s="12" t="inlineStr">
        <is>
          <t>evidence/UT/UT_フロントエンド_結果一覧_20261007.txt</t>
        </is>
      </c>
      <c r="R126" s="12" t="n"/>
      <c r="S126" s="12" t="n"/>
      <c r="T126" s="12" t="n"/>
    </row>
    <row r="127" ht="27" customHeight="1">
      <c r="A127" s="12" t="inlineStr">
        <is>
          <t>UT-LIST-N03</t>
        </is>
      </c>
      <c r="B127" s="12" t="inlineStr">
        <is>
          <t>イベント一覧（SC-020）</t>
        </is>
      </c>
      <c r="C127" s="12" t="inlineStr">
        <is>
          <t>正常系</t>
        </is>
      </c>
      <c r="D127" s="12" t="inlineStr">
        <is>
          <t>並び替え: 申込数の多い順</t>
        </is>
      </c>
      <c r="E127" s="12" t="inlineStr">
        <is>
          <t>-</t>
        </is>
      </c>
      <c r="F127" s="12" t="inlineStr">
        <is>
          <t>-</t>
        </is>
      </c>
      <c r="G127" s="12" t="inlineStr">
        <is>
          <t>並び替え: 申込数の多い順</t>
        </is>
      </c>
      <c r="H127" s="12" t="inlineStr">
        <is>
          <t>-</t>
        </is>
      </c>
      <c r="I127" s="12" t="inlineStr">
        <is>
          <t>-</t>
        </is>
      </c>
      <c r="J127" s="12" t="inlineStr">
        <is>
          <t>30_画面詳細設計書</t>
        </is>
      </c>
      <c r="K127" s="12" t="inlineStr">
        <is>
          <t>自動</t>
        </is>
      </c>
      <c r="L127" s="12" t="inlineStr">
        <is>
          <t>events/event-list/event-list.spec.ts</t>
        </is>
      </c>
      <c r="M127" s="12" t="inlineStr">
        <is>
          <t>OK</t>
        </is>
      </c>
      <c r="N127" s="23" t="n">
        <v>46302</v>
      </c>
      <c r="O127" s="12" t="inlineStr">
        <is>
          <t>佐々木（Claude Code）</t>
        </is>
      </c>
      <c r="P127" s="12" t="inlineStr">
        <is>
          <t>自動テスト成功</t>
        </is>
      </c>
      <c r="Q127" s="12" t="inlineStr">
        <is>
          <t>evidence/UT/UT_フロントエンド_結果一覧_20261007.txt</t>
        </is>
      </c>
      <c r="R127" s="12" t="n"/>
      <c r="S127" s="12" t="n"/>
      <c r="T127" s="12" t="n"/>
    </row>
    <row r="128" ht="27" customHeight="1">
      <c r="A128" s="12" t="inlineStr">
        <is>
          <t>UT-LIST-N04</t>
        </is>
      </c>
      <c r="B128" s="12" t="inlineStr">
        <is>
          <t>イベント一覧（SC-020）</t>
        </is>
      </c>
      <c r="C128" s="12" t="inlineStr">
        <is>
          <t>正常系</t>
        </is>
      </c>
      <c r="D128" s="12" t="inlineStr">
        <is>
          <t>並び替え: お気に入り数の多い順</t>
        </is>
      </c>
      <c r="E128" s="12" t="inlineStr">
        <is>
          <t>-</t>
        </is>
      </c>
      <c r="F128" s="12" t="inlineStr">
        <is>
          <t>-</t>
        </is>
      </c>
      <c r="G128" s="12" t="inlineStr">
        <is>
          <t>並び替え: お気に入り数の多い順</t>
        </is>
      </c>
      <c r="H128" s="12" t="inlineStr">
        <is>
          <t>-</t>
        </is>
      </c>
      <c r="I128" s="12" t="inlineStr">
        <is>
          <t>-</t>
        </is>
      </c>
      <c r="J128" s="12" t="inlineStr">
        <is>
          <t>30_画面詳細設計書</t>
        </is>
      </c>
      <c r="K128" s="12" t="inlineStr">
        <is>
          <t>自動</t>
        </is>
      </c>
      <c r="L128" s="12" t="inlineStr">
        <is>
          <t>events/event-list/event-list.spec.ts</t>
        </is>
      </c>
      <c r="M128" s="12" t="inlineStr">
        <is>
          <t>OK</t>
        </is>
      </c>
      <c r="N128" s="23" t="n">
        <v>46302</v>
      </c>
      <c r="O128" s="12" t="inlineStr">
        <is>
          <t>佐々木（Claude Code）</t>
        </is>
      </c>
      <c r="P128" s="12" t="inlineStr">
        <is>
          <t>自動テスト成功</t>
        </is>
      </c>
      <c r="Q128" s="12" t="inlineStr">
        <is>
          <t>evidence/UT/UT_フロントエンド_結果一覧_20261007.txt</t>
        </is>
      </c>
      <c r="R128" s="12" t="n"/>
      <c r="S128" s="12" t="n"/>
      <c r="T128" s="12" t="n"/>
    </row>
    <row r="129" ht="27" customHeight="1">
      <c r="A129" s="12" t="inlineStr">
        <is>
          <t>UT-LIST-N05</t>
        </is>
      </c>
      <c r="B129" s="12" t="inlineStr">
        <is>
          <t>イベント一覧（SC-020）</t>
        </is>
      </c>
      <c r="C129" s="12" t="inlineStr">
        <is>
          <t>正常系</t>
        </is>
      </c>
      <c r="D129" s="12" t="inlineStr">
        <is>
          <t>並び替え: 申込締切が近い順</t>
        </is>
      </c>
      <c r="E129" s="12" t="inlineStr">
        <is>
          <t>-</t>
        </is>
      </c>
      <c r="F129" s="12" t="inlineStr">
        <is>
          <t>-</t>
        </is>
      </c>
      <c r="G129" s="12" t="inlineStr">
        <is>
          <t>並び替え: 申込締切が近い順</t>
        </is>
      </c>
      <c r="H129" s="12" t="inlineStr">
        <is>
          <t>-</t>
        </is>
      </c>
      <c r="I129" s="12" t="inlineStr">
        <is>
          <t>-</t>
        </is>
      </c>
      <c r="J129" s="12" t="inlineStr">
        <is>
          <t>30_画面詳細設計書</t>
        </is>
      </c>
      <c r="K129" s="12" t="inlineStr">
        <is>
          <t>自動</t>
        </is>
      </c>
      <c r="L129" s="12" t="inlineStr">
        <is>
          <t>events/event-list/event-list.spec.ts</t>
        </is>
      </c>
      <c r="M129" s="12" t="inlineStr">
        <is>
          <t>OK</t>
        </is>
      </c>
      <c r="N129" s="23" t="n">
        <v>46302</v>
      </c>
      <c r="O129" s="12" t="inlineStr">
        <is>
          <t>佐々木（Claude Code）</t>
        </is>
      </c>
      <c r="P129" s="12" t="inlineStr">
        <is>
          <t>自動テスト成功</t>
        </is>
      </c>
      <c r="Q129" s="12" t="inlineStr">
        <is>
          <t>evidence/UT/UT_フロントエンド_結果一覧_20261007.txt</t>
        </is>
      </c>
      <c r="R129" s="12" t="n"/>
      <c r="S129" s="12" t="n"/>
      <c r="T129" s="12" t="n"/>
    </row>
    <row r="130" ht="27" customHeight="1">
      <c r="A130" s="12" t="inlineStr">
        <is>
          <t>UT-LIST-N06</t>
        </is>
      </c>
      <c r="B130" s="12" t="inlineStr">
        <is>
          <t>イベント一覧（SC-020）</t>
        </is>
      </c>
      <c r="C130" s="12" t="inlineStr">
        <is>
          <t>正常系</t>
        </is>
      </c>
      <c r="D130" s="12" t="inlineStr">
        <is>
          <t>並び替え: 開催済みのイベントは末尾に並ぶ（既定の開催日時順）</t>
        </is>
      </c>
      <c r="E130" s="12" t="inlineStr">
        <is>
          <t>-</t>
        </is>
      </c>
      <c r="F130" s="12" t="inlineStr">
        <is>
          <t>-</t>
        </is>
      </c>
      <c r="G130" s="12" t="inlineStr">
        <is>
          <t>並び替え: 開催済みのイベントは末尾に並ぶ（既定の開催日時順）</t>
        </is>
      </c>
      <c r="H130" s="12" t="inlineStr">
        <is>
          <t>-</t>
        </is>
      </c>
      <c r="I130" s="12" t="inlineStr">
        <is>
          <t>-</t>
        </is>
      </c>
      <c r="J130" s="12" t="inlineStr">
        <is>
          <t>30_画面詳細設計書</t>
        </is>
      </c>
      <c r="K130" s="12" t="inlineStr">
        <is>
          <t>自動</t>
        </is>
      </c>
      <c r="L130" s="12" t="inlineStr">
        <is>
          <t>events/event-list/event-list.spec.ts</t>
        </is>
      </c>
      <c r="M130" s="12" t="inlineStr">
        <is>
          <t>OK</t>
        </is>
      </c>
      <c r="N130" s="23" t="n">
        <v>46302</v>
      </c>
      <c r="O130" s="12" t="inlineStr">
        <is>
          <t>佐々木（Claude Code）</t>
        </is>
      </c>
      <c r="P130" s="12" t="inlineStr">
        <is>
          <t>自動テスト成功</t>
        </is>
      </c>
      <c r="Q130" s="12" t="inlineStr">
        <is>
          <t>evidence/UT/UT_フロントエンド_結果一覧_20261007.txt</t>
        </is>
      </c>
      <c r="R130" s="12" t="n"/>
      <c r="S130" s="12" t="n"/>
      <c r="T130" s="12" t="n"/>
    </row>
    <row r="131" ht="27" customHeight="1">
      <c r="A131" s="12" t="inlineStr">
        <is>
          <t>UT-LIST-N07</t>
        </is>
      </c>
      <c r="B131" s="12" t="inlineStr">
        <is>
          <t>イベント一覧（SC-020）</t>
        </is>
      </c>
      <c r="C131" s="12" t="inlineStr">
        <is>
          <t>正常系</t>
        </is>
      </c>
      <c r="D131" s="12" t="inlineStr">
        <is>
          <t>並び替え: 申込数の多い順でも開催済みのイベントは末尾に並ぶ</t>
        </is>
      </c>
      <c r="E131" s="12" t="inlineStr">
        <is>
          <t>-</t>
        </is>
      </c>
      <c r="F131" s="12" t="inlineStr">
        <is>
          <t>-</t>
        </is>
      </c>
      <c r="G131" s="12" t="inlineStr">
        <is>
          <t>並び替え: 申込数の多い順でも開催済みのイベントは末尾に並ぶ</t>
        </is>
      </c>
      <c r="H131" s="12" t="inlineStr">
        <is>
          <t>-</t>
        </is>
      </c>
      <c r="I131" s="12" t="inlineStr">
        <is>
          <t>-</t>
        </is>
      </c>
      <c r="J131" s="12" t="inlineStr">
        <is>
          <t>30_画面詳細設計書</t>
        </is>
      </c>
      <c r="K131" s="12" t="inlineStr">
        <is>
          <t>自動</t>
        </is>
      </c>
      <c r="L131" s="12" t="inlineStr">
        <is>
          <t>events/event-list/event-list.spec.ts</t>
        </is>
      </c>
      <c r="M131" s="12" t="inlineStr">
        <is>
          <t>OK</t>
        </is>
      </c>
      <c r="N131" s="23" t="n">
        <v>46302</v>
      </c>
      <c r="O131" s="12" t="inlineStr">
        <is>
          <t>佐々木（Claude Code）</t>
        </is>
      </c>
      <c r="P131" s="12" t="inlineStr">
        <is>
          <t>自動テスト成功</t>
        </is>
      </c>
      <c r="Q131" s="12" t="inlineStr">
        <is>
          <t>evidence/UT/UT_フロントエンド_結果一覧_20261007.txt</t>
        </is>
      </c>
      <c r="R131" s="12" t="n"/>
      <c r="S131" s="12" t="n"/>
      <c r="T131" s="12" t="n"/>
    </row>
    <row r="132" ht="27" customHeight="1">
      <c r="A132" s="12" t="inlineStr">
        <is>
          <t>UT-LIST-N08</t>
        </is>
      </c>
      <c r="B132" s="12" t="inlineStr">
        <is>
          <t>イベント一覧（SC-020）</t>
        </is>
      </c>
      <c r="C132" s="12" t="inlineStr">
        <is>
          <t>正常系</t>
        </is>
      </c>
      <c r="D132" s="12" t="inlineStr">
        <is>
          <t>並び替え: 受付終了でも開催前のイベントは末尾に移動しない</t>
        </is>
      </c>
      <c r="E132" s="12" t="inlineStr">
        <is>
          <t>-</t>
        </is>
      </c>
      <c r="F132" s="12" t="inlineStr">
        <is>
          <t>-</t>
        </is>
      </c>
      <c r="G132" s="12" t="inlineStr">
        <is>
          <t>並び替え: 受付終了でも開催前のイベントは末尾に移動しない</t>
        </is>
      </c>
      <c r="H132" s="12" t="inlineStr">
        <is>
          <t>-</t>
        </is>
      </c>
      <c r="I132" s="12" t="inlineStr">
        <is>
          <t>-</t>
        </is>
      </c>
      <c r="J132" s="12" t="inlineStr">
        <is>
          <t>30_画面詳細設計書</t>
        </is>
      </c>
      <c r="K132" s="12" t="inlineStr">
        <is>
          <t>自動</t>
        </is>
      </c>
      <c r="L132" s="12" t="inlineStr">
        <is>
          <t>events/event-list/event-list.spec.ts</t>
        </is>
      </c>
      <c r="M132" s="12" t="inlineStr">
        <is>
          <t>OK</t>
        </is>
      </c>
      <c r="N132" s="23" t="n">
        <v>46302</v>
      </c>
      <c r="O132" s="12" t="inlineStr">
        <is>
          <t>佐々木（Claude Code）</t>
        </is>
      </c>
      <c r="P132" s="12" t="inlineStr">
        <is>
          <t>自動テスト成功</t>
        </is>
      </c>
      <c r="Q132" s="12" t="inlineStr">
        <is>
          <t>evidence/UT/UT_フロントエンド_結果一覧_20261007.txt</t>
        </is>
      </c>
      <c r="R132" s="12" t="n"/>
      <c r="S132" s="12" t="n"/>
      <c r="T132" s="12" t="n"/>
    </row>
    <row r="133" ht="27" customHeight="1">
      <c r="A133" s="12" t="inlineStr">
        <is>
          <t>UT-LIST-N09</t>
        </is>
      </c>
      <c r="B133" s="12" t="inlineStr">
        <is>
          <t>イベント一覧（SC-020）</t>
        </is>
      </c>
      <c r="C133" s="12" t="inlineStr">
        <is>
          <t>正常系</t>
        </is>
      </c>
      <c r="D133" s="12" t="inlineStr">
        <is>
          <t>詳細展開: toggleExpandでイベント詳細を取得する</t>
        </is>
      </c>
      <c r="E133" s="12" t="inlineStr">
        <is>
          <t>-</t>
        </is>
      </c>
      <c r="F133" s="12" t="inlineStr">
        <is>
          <t>-</t>
        </is>
      </c>
      <c r="G133" s="12" t="inlineStr">
        <is>
          <t>詳細展開: toggleExpandでイベント詳細を取得する</t>
        </is>
      </c>
      <c r="H133" s="12" t="inlineStr">
        <is>
          <t>-</t>
        </is>
      </c>
      <c r="I133" s="12" t="inlineStr">
        <is>
          <t>-</t>
        </is>
      </c>
      <c r="J133" s="12" t="inlineStr">
        <is>
          <t>30_画面詳細設計書</t>
        </is>
      </c>
      <c r="K133" s="12" t="inlineStr">
        <is>
          <t>自動</t>
        </is>
      </c>
      <c r="L133" s="12" t="inlineStr">
        <is>
          <t>events/event-list/event-list.spec.ts</t>
        </is>
      </c>
      <c r="M133" s="12" t="inlineStr">
        <is>
          <t>OK</t>
        </is>
      </c>
      <c r="N133" s="23" t="n">
        <v>46302</v>
      </c>
      <c r="O133" s="12" t="inlineStr">
        <is>
          <t>佐々木（Claude Code）</t>
        </is>
      </c>
      <c r="P133" s="12" t="inlineStr">
        <is>
          <t>自動テスト成功</t>
        </is>
      </c>
      <c r="Q133" s="12" t="inlineStr">
        <is>
          <t>evidence/UT/UT_フロントエンド_結果一覧_20261007.txt</t>
        </is>
      </c>
      <c r="R133" s="12" t="n"/>
      <c r="S133" s="12" t="n"/>
      <c r="T133" s="12" t="n"/>
    </row>
    <row r="134" ht="27" customHeight="1">
      <c r="A134" s="12" t="inlineStr">
        <is>
          <t>UT-LIST-N10</t>
        </is>
      </c>
      <c r="B134" s="12" t="inlineStr">
        <is>
          <t>イベント一覧（SC-020）</t>
        </is>
      </c>
      <c r="C134" s="12" t="inlineStr">
        <is>
          <t>正常系</t>
        </is>
      </c>
      <c r="D134" s="12" t="inlineStr">
        <is>
          <t>詳細展開: 同じ行をもう一度押すと閉じる</t>
        </is>
      </c>
      <c r="E134" s="12" t="inlineStr">
        <is>
          <t>-</t>
        </is>
      </c>
      <c r="F134" s="12" t="inlineStr">
        <is>
          <t>-</t>
        </is>
      </c>
      <c r="G134" s="12" t="inlineStr">
        <is>
          <t>詳細展開: 同じ行をもう一度押すと閉じる</t>
        </is>
      </c>
      <c r="H134" s="12" t="inlineStr">
        <is>
          <t>-</t>
        </is>
      </c>
      <c r="I134" s="12" t="inlineStr">
        <is>
          <t>-</t>
        </is>
      </c>
      <c r="J134" s="12" t="inlineStr">
        <is>
          <t>30_画面詳細設計書</t>
        </is>
      </c>
      <c r="K134" s="12" t="inlineStr">
        <is>
          <t>自動</t>
        </is>
      </c>
      <c r="L134" s="12" t="inlineStr">
        <is>
          <t>events/event-list/event-list.spec.ts</t>
        </is>
      </c>
      <c r="M134" s="12" t="inlineStr">
        <is>
          <t>OK</t>
        </is>
      </c>
      <c r="N134" s="23" t="n">
        <v>46302</v>
      </c>
      <c r="O134" s="12" t="inlineStr">
        <is>
          <t>佐々木（Claude Code）</t>
        </is>
      </c>
      <c r="P134" s="12" t="inlineStr">
        <is>
          <t>自動テスト成功</t>
        </is>
      </c>
      <c r="Q134" s="12" t="inlineStr">
        <is>
          <t>evidence/UT/UT_フロントエンド_結果一覧_20261007.txt</t>
        </is>
      </c>
      <c r="R134" s="12" t="n"/>
      <c r="S134" s="12" t="n"/>
      <c r="T134" s="12" t="n"/>
    </row>
    <row r="135" ht="27" customHeight="1">
      <c r="A135" s="12" t="inlineStr">
        <is>
          <t>UT-LIST-N11</t>
        </is>
      </c>
      <c r="B135" s="12" t="inlineStr">
        <is>
          <t>イベント一覧（SC-020）</t>
        </is>
      </c>
      <c r="C135" s="12" t="inlineStr">
        <is>
          <t>正常系</t>
        </is>
      </c>
      <c r="D135" s="12" t="inlineStr">
        <is>
          <t>申込成功で申込完了画面へ遷移する</t>
        </is>
      </c>
      <c r="E135" s="12" t="inlineStr">
        <is>
          <t>-</t>
        </is>
      </c>
      <c r="F135" s="12" t="inlineStr">
        <is>
          <t>-</t>
        </is>
      </c>
      <c r="G135" s="12" t="inlineStr">
        <is>
          <t>申込成功で申込完了画面へ遷移する</t>
        </is>
      </c>
      <c r="H135" s="12" t="inlineStr">
        <is>
          <t>-</t>
        </is>
      </c>
      <c r="I135" s="12" t="inlineStr">
        <is>
          <t>-</t>
        </is>
      </c>
      <c r="J135" s="12" t="inlineStr">
        <is>
          <t>30_画面詳細設計書</t>
        </is>
      </c>
      <c r="K135" s="12" t="inlineStr">
        <is>
          <t>自動</t>
        </is>
      </c>
      <c r="L135" s="12" t="inlineStr">
        <is>
          <t>events/event-list/event-list.spec.ts</t>
        </is>
      </c>
      <c r="M135" s="12" t="inlineStr">
        <is>
          <t>OK</t>
        </is>
      </c>
      <c r="N135" s="23" t="n">
        <v>46302</v>
      </c>
      <c r="O135" s="12" t="inlineStr">
        <is>
          <t>佐々木（Claude Code）</t>
        </is>
      </c>
      <c r="P135" s="12" t="inlineStr">
        <is>
          <t>自動テスト成功</t>
        </is>
      </c>
      <c r="Q135" s="12" t="inlineStr">
        <is>
          <t>evidence/UT/UT_フロントエンド_結果一覧_20261007.txt</t>
        </is>
      </c>
      <c r="R135" s="12" t="n"/>
      <c r="S135" s="12" t="n"/>
      <c r="T135" s="12" t="n"/>
    </row>
    <row r="136" ht="27" customHeight="1">
      <c r="A136" s="12" t="inlineStr">
        <is>
          <t>UT-LIST-N12</t>
        </is>
      </c>
      <c r="B136" s="12" t="inlineStr">
        <is>
          <t>イベント一覧（SC-020）</t>
        </is>
      </c>
      <c r="C136" s="12" t="inlineStr">
        <is>
          <t>正常系</t>
        </is>
      </c>
      <c r="D136" s="12" t="inlineStr">
        <is>
          <t>お気に入りトグルでfavoriteStore.toggleを呼ぶ</t>
        </is>
      </c>
      <c r="E136" s="12" t="inlineStr">
        <is>
          <t>-</t>
        </is>
      </c>
      <c r="F136" s="12" t="inlineStr">
        <is>
          <t>-</t>
        </is>
      </c>
      <c r="G136" s="12" t="inlineStr">
        <is>
          <t>お気に入りトグルでfavoriteStore.toggleを呼ぶ</t>
        </is>
      </c>
      <c r="H136" s="12" t="inlineStr">
        <is>
          <t>-</t>
        </is>
      </c>
      <c r="I136" s="12" t="inlineStr">
        <is>
          <t>-</t>
        </is>
      </c>
      <c r="J136" s="12" t="inlineStr">
        <is>
          <t>30_画面詳細設計書</t>
        </is>
      </c>
      <c r="K136" s="12" t="inlineStr">
        <is>
          <t>自動</t>
        </is>
      </c>
      <c r="L136" s="12" t="inlineStr">
        <is>
          <t>events/event-list/event-list.spec.ts</t>
        </is>
      </c>
      <c r="M136" s="12" t="inlineStr">
        <is>
          <t>OK</t>
        </is>
      </c>
      <c r="N136" s="23" t="n">
        <v>46302</v>
      </c>
      <c r="O136" s="12" t="inlineStr">
        <is>
          <t>佐々木（Claude Code）</t>
        </is>
      </c>
      <c r="P136" s="12" t="inlineStr">
        <is>
          <t>自動テスト成功</t>
        </is>
      </c>
      <c r="Q136" s="12" t="inlineStr">
        <is>
          <t>evidence/UT/UT_フロントエンド_結果一覧_20261007.txt</t>
        </is>
      </c>
      <c r="R136" s="12" t="n"/>
      <c r="S136" s="12" t="n"/>
      <c r="T136" s="12" t="n"/>
    </row>
    <row r="137" ht="27" customHeight="1">
      <c r="A137" s="12" t="inlineStr">
        <is>
          <t>UT-LIST-N13</t>
        </is>
      </c>
      <c r="B137" s="12" t="inlineStr">
        <is>
          <t>イベント一覧（SC-020）</t>
        </is>
      </c>
      <c r="C137" s="12" t="inlineStr">
        <is>
          <t>正常系</t>
        </is>
      </c>
      <c r="D137" s="12" t="inlineStr">
        <is>
          <t>お気に入り登録でお気に入り数が即座に1増える</t>
        </is>
      </c>
      <c r="E137" s="12" t="inlineStr">
        <is>
          <t>-</t>
        </is>
      </c>
      <c r="F137" s="12" t="inlineStr">
        <is>
          <t>-</t>
        </is>
      </c>
      <c r="G137" s="12" t="inlineStr">
        <is>
          <t>お気に入り登録でお気に入り数が即座に1増える</t>
        </is>
      </c>
      <c r="H137" s="12" t="inlineStr">
        <is>
          <t>-</t>
        </is>
      </c>
      <c r="I137" s="12" t="inlineStr">
        <is>
          <t>-</t>
        </is>
      </c>
      <c r="J137" s="12" t="inlineStr">
        <is>
          <t>30_画面詳細設計書</t>
        </is>
      </c>
      <c r="K137" s="12" t="inlineStr">
        <is>
          <t>自動</t>
        </is>
      </c>
      <c r="L137" s="12" t="inlineStr">
        <is>
          <t>events/event-list/event-list.spec.ts</t>
        </is>
      </c>
      <c r="M137" s="12" t="inlineStr">
        <is>
          <t>OK</t>
        </is>
      </c>
      <c r="N137" s="23" t="n">
        <v>46302</v>
      </c>
      <c r="O137" s="12" t="inlineStr">
        <is>
          <t>佐々木（Claude Code）</t>
        </is>
      </c>
      <c r="P137" s="12" t="inlineStr">
        <is>
          <t>自動テスト成功</t>
        </is>
      </c>
      <c r="Q137" s="12" t="inlineStr">
        <is>
          <t>evidence/UT/UT_フロントエンド_結果一覧_20261007.txt</t>
        </is>
      </c>
      <c r="R137" s="12" t="n"/>
      <c r="S137" s="12" t="n"/>
      <c r="T137" s="12" t="n"/>
    </row>
    <row r="138" ht="27" customHeight="1">
      <c r="A138" s="12" t="inlineStr">
        <is>
          <t>UT-LIST-N14</t>
        </is>
      </c>
      <c r="B138" s="12" t="inlineStr">
        <is>
          <t>イベント一覧（SC-020）</t>
        </is>
      </c>
      <c r="C138" s="12" t="inlineStr">
        <is>
          <t>正常系</t>
        </is>
      </c>
      <c r="D138" s="12" t="inlineStr">
        <is>
          <t>お気に入り解除でお気に入り数が即座に1減る</t>
        </is>
      </c>
      <c r="E138" s="12" t="inlineStr">
        <is>
          <t>-</t>
        </is>
      </c>
      <c r="F138" s="12" t="inlineStr">
        <is>
          <t>-</t>
        </is>
      </c>
      <c r="G138" s="12" t="inlineStr">
        <is>
          <t>お気に入り解除でお気に入り数が即座に1減る</t>
        </is>
      </c>
      <c r="H138" s="12" t="inlineStr">
        <is>
          <t>-</t>
        </is>
      </c>
      <c r="I138" s="12" t="inlineStr">
        <is>
          <t>-</t>
        </is>
      </c>
      <c r="J138" s="12" t="inlineStr">
        <is>
          <t>30_画面詳細設計書</t>
        </is>
      </c>
      <c r="K138" s="12" t="inlineStr">
        <is>
          <t>自動</t>
        </is>
      </c>
      <c r="L138" s="12" t="inlineStr">
        <is>
          <t>events/event-list/event-list.spec.ts</t>
        </is>
      </c>
      <c r="M138" s="12" t="inlineStr">
        <is>
          <t>OK</t>
        </is>
      </c>
      <c r="N138" s="23" t="n">
        <v>46302</v>
      </c>
      <c r="O138" s="12" t="inlineStr">
        <is>
          <t>佐々木（Claude Code）</t>
        </is>
      </c>
      <c r="P138" s="12" t="inlineStr">
        <is>
          <t>自動テスト成功</t>
        </is>
      </c>
      <c r="Q138" s="12" t="inlineStr">
        <is>
          <t>evidence/UT/UT_フロントエンド_結果一覧_20261007.txt</t>
        </is>
      </c>
      <c r="R138" s="12" t="n"/>
      <c r="S138" s="12" t="n"/>
      <c r="T138" s="12" t="n"/>
    </row>
    <row r="139" ht="27" customHeight="1">
      <c r="A139" s="12" t="inlineStr">
        <is>
          <t>UT-LIST-N15</t>
        </is>
      </c>
      <c r="B139" s="12" t="inlineStr">
        <is>
          <t>イベント一覧（SC-020）</t>
        </is>
      </c>
      <c r="C139" s="12" t="inlineStr">
        <is>
          <t>正常系</t>
        </is>
      </c>
      <c r="D139" s="12" t="inlineStr">
        <is>
          <t>管理者の場合isAdminがtrueになる</t>
        </is>
      </c>
      <c r="E139" s="12" t="inlineStr">
        <is>
          <t>-</t>
        </is>
      </c>
      <c r="F139" s="12" t="inlineStr">
        <is>
          <t>-</t>
        </is>
      </c>
      <c r="G139" s="12" t="inlineStr">
        <is>
          <t>管理者の場合isAdminがtrueになる</t>
        </is>
      </c>
      <c r="H139" s="12" t="inlineStr">
        <is>
          <t>-</t>
        </is>
      </c>
      <c r="I139" s="12" t="inlineStr">
        <is>
          <t>-</t>
        </is>
      </c>
      <c r="J139" s="12" t="inlineStr">
        <is>
          <t>30_画面詳細設計書</t>
        </is>
      </c>
      <c r="K139" s="12" t="inlineStr">
        <is>
          <t>自動</t>
        </is>
      </c>
      <c r="L139" s="12" t="inlineStr">
        <is>
          <t>events/event-list/event-list.spec.ts</t>
        </is>
      </c>
      <c r="M139" s="12" t="inlineStr">
        <is>
          <t>OK</t>
        </is>
      </c>
      <c r="N139" s="23" t="n">
        <v>46302</v>
      </c>
      <c r="O139" s="12" t="inlineStr">
        <is>
          <t>佐々木（Claude Code）</t>
        </is>
      </c>
      <c r="P139" s="12" t="inlineStr">
        <is>
          <t>自動テスト成功</t>
        </is>
      </c>
      <c r="Q139" s="12" t="inlineStr">
        <is>
          <t>evidence/UT/UT_フロントエンド_結果一覧_20261007.txt</t>
        </is>
      </c>
      <c r="R139" s="12" t="n"/>
      <c r="S139" s="12" t="n"/>
      <c r="T139" s="12" t="n"/>
    </row>
    <row r="140" ht="27" customHeight="1">
      <c r="A140" s="12" t="inlineStr">
        <is>
          <t>UT-SRCH-N01</t>
        </is>
      </c>
      <c r="B140" s="12" t="inlineStr">
        <is>
          <t>イベント検索（SC-021）</t>
        </is>
      </c>
      <c r="C140" s="12" t="inlineStr">
        <is>
          <t>正常系</t>
        </is>
      </c>
      <c r="D140" s="12" t="inlineStr">
        <is>
          <t>初期状態では開催日時昇順で全件を返す</t>
        </is>
      </c>
      <c r="E140" s="12" t="inlineStr">
        <is>
          <t>-</t>
        </is>
      </c>
      <c r="F140" s="12" t="inlineStr">
        <is>
          <t>-</t>
        </is>
      </c>
      <c r="G140" s="12" t="inlineStr">
        <is>
          <t>初期状態では開催日時昇順で全件を返す</t>
        </is>
      </c>
      <c r="H140" s="12" t="inlineStr">
        <is>
          <t>-</t>
        </is>
      </c>
      <c r="I140" s="12" t="inlineStr">
        <is>
          <t>-</t>
        </is>
      </c>
      <c r="J140" s="12" t="inlineStr">
        <is>
          <t>30_画面詳細設計書</t>
        </is>
      </c>
      <c r="K140" s="12" t="inlineStr">
        <is>
          <t>自動</t>
        </is>
      </c>
      <c r="L140" s="12" t="inlineStr">
        <is>
          <t>events/event-search/event-search.spec.ts</t>
        </is>
      </c>
      <c r="M140" s="12" t="inlineStr">
        <is>
          <t>OK</t>
        </is>
      </c>
      <c r="N140" s="23" t="n">
        <v>46302</v>
      </c>
      <c r="O140" s="12" t="inlineStr">
        <is>
          <t>佐々木（Claude Code）</t>
        </is>
      </c>
      <c r="P140" s="12" t="inlineStr">
        <is>
          <t>自動テスト成功</t>
        </is>
      </c>
      <c r="Q140" s="12" t="inlineStr">
        <is>
          <t>evidence/UT/UT_フロントエンド_結果一覧_20261007.txt</t>
        </is>
      </c>
      <c r="R140" s="12" t="n"/>
      <c r="S140" s="12" t="n"/>
      <c r="T140" s="12" t="n"/>
    </row>
    <row r="141" ht="27" customHeight="1">
      <c r="A141" s="12" t="inlineStr">
        <is>
          <t>UT-SRCH-N02</t>
        </is>
      </c>
      <c r="B141" s="12" t="inlineStr">
        <is>
          <t>イベント検索（SC-021）</t>
        </is>
      </c>
      <c r="C141" s="12" t="inlineStr">
        <is>
          <t>正常系</t>
        </is>
      </c>
      <c r="D141" s="12" t="inlineStr">
        <is>
          <t>キーワードでイベント名を絞り込む</t>
        </is>
      </c>
      <c r="E141" s="12" t="inlineStr">
        <is>
          <t>-</t>
        </is>
      </c>
      <c r="F141" s="12" t="inlineStr">
        <is>
          <t>-</t>
        </is>
      </c>
      <c r="G141" s="12" t="inlineStr">
        <is>
          <t>キーワードでイベント名を絞り込む</t>
        </is>
      </c>
      <c r="H141" s="12" t="inlineStr">
        <is>
          <t>-</t>
        </is>
      </c>
      <c r="I141" s="12" t="inlineStr">
        <is>
          <t>-</t>
        </is>
      </c>
      <c r="J141" s="12" t="inlineStr">
        <is>
          <t>30_画面詳細設計書</t>
        </is>
      </c>
      <c r="K141" s="12" t="inlineStr">
        <is>
          <t>自動</t>
        </is>
      </c>
      <c r="L141" s="12" t="inlineStr">
        <is>
          <t>events/event-search/event-search.spec.ts</t>
        </is>
      </c>
      <c r="M141" s="12" t="inlineStr">
        <is>
          <t>OK</t>
        </is>
      </c>
      <c r="N141" s="23" t="n">
        <v>46302</v>
      </c>
      <c r="O141" s="12" t="inlineStr">
        <is>
          <t>佐々木（Claude Code）</t>
        </is>
      </c>
      <c r="P141" s="12" t="inlineStr">
        <is>
          <t>自動テスト成功</t>
        </is>
      </c>
      <c r="Q141" s="12" t="inlineStr">
        <is>
          <t>evidence/UT/UT_フロントエンド_結果一覧_20261007.txt</t>
        </is>
      </c>
      <c r="R141" s="12" t="n"/>
      <c r="S141" s="12" t="n"/>
      <c r="T141" s="12" t="n"/>
    </row>
    <row r="142" ht="27" customHeight="1">
      <c r="A142" s="12" t="inlineStr">
        <is>
          <t>UT-SRCH-N03</t>
        </is>
      </c>
      <c r="B142" s="12" t="inlineStr">
        <is>
          <t>イベント検索（SC-021）</t>
        </is>
      </c>
      <c r="C142" s="12" t="inlineStr">
        <is>
          <t>正常系</t>
        </is>
      </c>
      <c r="D142" s="12" t="inlineStr">
        <is>
          <t>キーワードで場所を絞り込む（大文字小文字を区別しない）</t>
        </is>
      </c>
      <c r="E142" s="12" t="inlineStr">
        <is>
          <t>-</t>
        </is>
      </c>
      <c r="F142" s="12" t="inlineStr">
        <is>
          <t>-</t>
        </is>
      </c>
      <c r="G142" s="12" t="inlineStr">
        <is>
          <t>キーワードで場所を絞り込む（大文字小文字を区別しない）</t>
        </is>
      </c>
      <c r="H142" s="12" t="inlineStr">
        <is>
          <t>-</t>
        </is>
      </c>
      <c r="I142" s="12" t="inlineStr">
        <is>
          <t>-</t>
        </is>
      </c>
      <c r="J142" s="12" t="inlineStr">
        <is>
          <t>30_画面詳細設計書</t>
        </is>
      </c>
      <c r="K142" s="12" t="inlineStr">
        <is>
          <t>自動</t>
        </is>
      </c>
      <c r="L142" s="12" t="inlineStr">
        <is>
          <t>events/event-search/event-search.spec.ts</t>
        </is>
      </c>
      <c r="M142" s="12" t="inlineStr">
        <is>
          <t>OK</t>
        </is>
      </c>
      <c r="N142" s="23" t="n">
        <v>46302</v>
      </c>
      <c r="O142" s="12" t="inlineStr">
        <is>
          <t>佐々木（Claude Code）</t>
        </is>
      </c>
      <c r="P142" s="12" t="inlineStr">
        <is>
          <t>自動テスト成功</t>
        </is>
      </c>
      <c r="Q142" s="12" t="inlineStr">
        <is>
          <t>evidence/UT/UT_フロントエンド_結果一覧_20261007.txt</t>
        </is>
      </c>
      <c r="R142" s="12" t="n"/>
      <c r="S142" s="12" t="n"/>
      <c r="T142" s="12" t="n"/>
    </row>
    <row r="143" ht="27" customHeight="1">
      <c r="A143" s="12" t="inlineStr">
        <is>
          <t>UT-SRCH-N04</t>
        </is>
      </c>
      <c r="B143" s="12" t="inlineStr">
        <is>
          <t>イベント検索（SC-021）</t>
        </is>
      </c>
      <c r="C143" s="12" t="inlineStr">
        <is>
          <t>正常系</t>
        </is>
      </c>
      <c r="D143" s="12" t="inlineStr">
        <is>
          <t>開催日（から）で絞り込む</t>
        </is>
      </c>
      <c r="E143" s="12" t="inlineStr">
        <is>
          <t>-</t>
        </is>
      </c>
      <c r="F143" s="12" t="inlineStr">
        <is>
          <t>-</t>
        </is>
      </c>
      <c r="G143" s="12" t="inlineStr">
        <is>
          <t>開催日（から）で絞り込む</t>
        </is>
      </c>
      <c r="H143" s="12" t="inlineStr">
        <is>
          <t>-</t>
        </is>
      </c>
      <c r="I143" s="12" t="inlineStr">
        <is>
          <t>-</t>
        </is>
      </c>
      <c r="J143" s="12" t="inlineStr">
        <is>
          <t>30_画面詳細設計書</t>
        </is>
      </c>
      <c r="K143" s="12" t="inlineStr">
        <is>
          <t>自動</t>
        </is>
      </c>
      <c r="L143" s="12" t="inlineStr">
        <is>
          <t>events/event-search/event-search.spec.ts</t>
        </is>
      </c>
      <c r="M143" s="12" t="inlineStr">
        <is>
          <t>OK</t>
        </is>
      </c>
      <c r="N143" s="23" t="n">
        <v>46302</v>
      </c>
      <c r="O143" s="12" t="inlineStr">
        <is>
          <t>佐々木（Claude Code）</t>
        </is>
      </c>
      <c r="P143" s="12" t="inlineStr">
        <is>
          <t>自動テスト成功</t>
        </is>
      </c>
      <c r="Q143" s="12" t="inlineStr">
        <is>
          <t>evidence/UT/UT_フロントエンド_結果一覧_20261007.txt</t>
        </is>
      </c>
      <c r="R143" s="12" t="n"/>
      <c r="S143" s="12" t="n"/>
      <c r="T143" s="12" t="n"/>
    </row>
    <row r="144" ht="27" customHeight="1">
      <c r="A144" s="12" t="inlineStr">
        <is>
          <t>UT-SRCH-N05</t>
        </is>
      </c>
      <c r="B144" s="12" t="inlineStr">
        <is>
          <t>イベント検索（SC-021）</t>
        </is>
      </c>
      <c r="C144" s="12" t="inlineStr">
        <is>
          <t>正常系</t>
        </is>
      </c>
      <c r="D144" s="12" t="inlineStr">
        <is>
          <t>開催日（まで）で絞り込む</t>
        </is>
      </c>
      <c r="E144" s="12" t="inlineStr">
        <is>
          <t>-</t>
        </is>
      </c>
      <c r="F144" s="12" t="inlineStr">
        <is>
          <t>-</t>
        </is>
      </c>
      <c r="G144" s="12" t="inlineStr">
        <is>
          <t>開催日（まで）で絞り込む</t>
        </is>
      </c>
      <c r="H144" s="12" t="inlineStr">
        <is>
          <t>-</t>
        </is>
      </c>
      <c r="I144" s="12" t="inlineStr">
        <is>
          <t>-</t>
        </is>
      </c>
      <c r="J144" s="12" t="inlineStr">
        <is>
          <t>30_画面詳細設計書</t>
        </is>
      </c>
      <c r="K144" s="12" t="inlineStr">
        <is>
          <t>自動</t>
        </is>
      </c>
      <c r="L144" s="12" t="inlineStr">
        <is>
          <t>events/event-search/event-search.spec.ts</t>
        </is>
      </c>
      <c r="M144" s="12" t="inlineStr">
        <is>
          <t>OK</t>
        </is>
      </c>
      <c r="N144" s="23" t="n">
        <v>46302</v>
      </c>
      <c r="O144" s="12" t="inlineStr">
        <is>
          <t>佐々木（Claude Code）</t>
        </is>
      </c>
      <c r="P144" s="12" t="inlineStr">
        <is>
          <t>自動テスト成功</t>
        </is>
      </c>
      <c r="Q144" s="12" t="inlineStr">
        <is>
          <t>evidence/UT/UT_フロントエンド_結果一覧_20261007.txt</t>
        </is>
      </c>
      <c r="R144" s="12" t="n"/>
      <c r="S144" s="12" t="n"/>
      <c r="T144" s="12" t="n"/>
    </row>
    <row r="145" ht="27" customHeight="1">
      <c r="A145" s="12" t="inlineStr">
        <is>
          <t>UT-SRCH-N06</t>
        </is>
      </c>
      <c r="B145" s="12" t="inlineStr">
        <is>
          <t>イベント検索（SC-021）</t>
        </is>
      </c>
      <c r="C145" s="12" t="inlineStr">
        <is>
          <t>正常系</t>
        </is>
      </c>
      <c r="D145" s="12" t="inlineStr">
        <is>
          <t>開催日（から）と（まで）の両方を指定すると、その範囲で絞り込む</t>
        </is>
      </c>
      <c r="E145" s="12" t="inlineStr">
        <is>
          <t>-</t>
        </is>
      </c>
      <c r="F145" s="12" t="inlineStr">
        <is>
          <t>-</t>
        </is>
      </c>
      <c r="G145" s="12" t="inlineStr">
        <is>
          <t>開催日（から）と（まで）の両方を指定すると、その範囲で絞り込む</t>
        </is>
      </c>
      <c r="H145" s="12" t="inlineStr">
        <is>
          <t>-</t>
        </is>
      </c>
      <c r="I145" s="12" t="inlineStr">
        <is>
          <t>-</t>
        </is>
      </c>
      <c r="J145" s="12" t="inlineStr">
        <is>
          <t>30_画面詳細設計書</t>
        </is>
      </c>
      <c r="K145" s="12" t="inlineStr">
        <is>
          <t>自動</t>
        </is>
      </c>
      <c r="L145" s="12" t="inlineStr">
        <is>
          <t>events/event-search/event-search.spec.ts</t>
        </is>
      </c>
      <c r="M145" s="12" t="inlineStr">
        <is>
          <t>OK</t>
        </is>
      </c>
      <c r="N145" s="23" t="n">
        <v>46302</v>
      </c>
      <c r="O145" s="12" t="inlineStr">
        <is>
          <t>佐々木（Claude Code）</t>
        </is>
      </c>
      <c r="P145" s="12" t="inlineStr">
        <is>
          <t>自動テスト成功</t>
        </is>
      </c>
      <c r="Q145" s="12" t="inlineStr">
        <is>
          <t>evidence/UT/UT_フロントエンド_結果一覧_20261007.txt</t>
        </is>
      </c>
      <c r="R145" s="12" t="n"/>
      <c r="S145" s="12" t="n"/>
      <c r="T145" s="12" t="n"/>
    </row>
    <row r="146" ht="27" customHeight="1">
      <c r="A146" s="12" t="inlineStr">
        <is>
          <t>UT-SRCH-N07</t>
        </is>
      </c>
      <c r="B146" s="12" t="inlineStr">
        <is>
          <t>イベント検索（SC-021）</t>
        </is>
      </c>
      <c r="C146" s="12" t="inlineStr">
        <is>
          <t>正常系</t>
        </is>
      </c>
      <c r="D146" s="12" t="inlineStr">
        <is>
          <t>条件をクリアすると絞り込みが解除される</t>
        </is>
      </c>
      <c r="E146" s="12" t="inlineStr">
        <is>
          <t>-</t>
        </is>
      </c>
      <c r="F146" s="12" t="inlineStr">
        <is>
          <t>-</t>
        </is>
      </c>
      <c r="G146" s="12" t="inlineStr">
        <is>
          <t>条件をクリアすると絞り込みが解除される</t>
        </is>
      </c>
      <c r="H146" s="12" t="inlineStr">
        <is>
          <t>-</t>
        </is>
      </c>
      <c r="I146" s="12" t="inlineStr">
        <is>
          <t>-</t>
        </is>
      </c>
      <c r="J146" s="12" t="inlineStr">
        <is>
          <t>30_画面詳細設計書</t>
        </is>
      </c>
      <c r="K146" s="12" t="inlineStr">
        <is>
          <t>自動</t>
        </is>
      </c>
      <c r="L146" s="12" t="inlineStr">
        <is>
          <t>events/event-search/event-search.spec.ts</t>
        </is>
      </c>
      <c r="M146" s="12" t="inlineStr">
        <is>
          <t>OK</t>
        </is>
      </c>
      <c r="N146" s="23" t="n">
        <v>46302</v>
      </c>
      <c r="O146" s="12" t="inlineStr">
        <is>
          <t>佐々木（Claude Code）</t>
        </is>
      </c>
      <c r="P146" s="12" t="inlineStr">
        <is>
          <t>自動テスト成功</t>
        </is>
      </c>
      <c r="Q146" s="12" t="inlineStr">
        <is>
          <t>evidence/UT/UT_フロントエンド_結果一覧_20261007.txt</t>
        </is>
      </c>
      <c r="R146" s="12" t="n"/>
      <c r="S146" s="12" t="n"/>
      <c r="T146" s="12" t="n"/>
    </row>
    <row r="147" ht="27" customHeight="1">
      <c r="A147" s="12" t="inlineStr">
        <is>
          <t>UT-SRCH-N08</t>
        </is>
      </c>
      <c r="B147" s="12" t="inlineStr">
        <is>
          <t>イベント検索（SC-021）</t>
        </is>
      </c>
      <c r="C147" s="12" t="inlineStr">
        <is>
          <t>正常系</t>
        </is>
      </c>
      <c r="D147" s="12" t="inlineStr">
        <is>
          <t>並び替え: 開催済みのイベントは検索結果の末尾に並ぶ</t>
        </is>
      </c>
      <c r="E147" s="12" t="inlineStr">
        <is>
          <t>-</t>
        </is>
      </c>
      <c r="F147" s="12" t="inlineStr">
        <is>
          <t>-</t>
        </is>
      </c>
      <c r="G147" s="12" t="inlineStr">
        <is>
          <t>並び替え: 開催済みのイベントは検索結果の末尾に並ぶ</t>
        </is>
      </c>
      <c r="H147" s="12" t="inlineStr">
        <is>
          <t>-</t>
        </is>
      </c>
      <c r="I147" s="12" t="inlineStr">
        <is>
          <t>-</t>
        </is>
      </c>
      <c r="J147" s="12" t="inlineStr">
        <is>
          <t>30_画面詳細設計書</t>
        </is>
      </c>
      <c r="K147" s="12" t="inlineStr">
        <is>
          <t>自動</t>
        </is>
      </c>
      <c r="L147" s="12" t="inlineStr">
        <is>
          <t>events/event-search/event-search.spec.ts</t>
        </is>
      </c>
      <c r="M147" s="12" t="inlineStr">
        <is>
          <t>OK</t>
        </is>
      </c>
      <c r="N147" s="23" t="n">
        <v>46302</v>
      </c>
      <c r="O147" s="12" t="inlineStr">
        <is>
          <t>佐々木（Claude Code）</t>
        </is>
      </c>
      <c r="P147" s="12" t="inlineStr">
        <is>
          <t>自動テスト成功</t>
        </is>
      </c>
      <c r="Q147" s="12" t="inlineStr">
        <is>
          <t>evidence/UT/UT_フロントエンド_結果一覧_20261007.txt</t>
        </is>
      </c>
      <c r="R147" s="12" t="n"/>
      <c r="S147" s="12" t="n"/>
      <c r="T147" s="12" t="n"/>
    </row>
    <row r="148" ht="27" customHeight="1">
      <c r="A148" s="12" t="inlineStr">
        <is>
          <t>UT-SRCH-N09</t>
        </is>
      </c>
      <c r="B148" s="12" t="inlineStr">
        <is>
          <t>イベント検索（SC-021）</t>
        </is>
      </c>
      <c r="C148" s="12" t="inlineStr">
        <is>
          <t>正常系</t>
        </is>
      </c>
      <c r="D148" s="12" t="inlineStr">
        <is>
          <t>並び替え: 絞り込んだ結果の中でも開催済みのイベントは末尾に並ぶ</t>
        </is>
      </c>
      <c r="E148" s="12" t="inlineStr">
        <is>
          <t>-</t>
        </is>
      </c>
      <c r="F148" s="12" t="inlineStr">
        <is>
          <t>-</t>
        </is>
      </c>
      <c r="G148" s="12" t="inlineStr">
        <is>
          <t>並び替え: 絞り込んだ結果の中でも開催済みのイベントは末尾に並ぶ</t>
        </is>
      </c>
      <c r="H148" s="12" t="inlineStr">
        <is>
          <t>-</t>
        </is>
      </c>
      <c r="I148" s="12" t="inlineStr">
        <is>
          <t>-</t>
        </is>
      </c>
      <c r="J148" s="12" t="inlineStr">
        <is>
          <t>30_画面詳細設計書</t>
        </is>
      </c>
      <c r="K148" s="12" t="inlineStr">
        <is>
          <t>自動</t>
        </is>
      </c>
      <c r="L148" s="12" t="inlineStr">
        <is>
          <t>events/event-search/event-search.spec.ts</t>
        </is>
      </c>
      <c r="M148" s="12" t="inlineStr">
        <is>
          <t>OK</t>
        </is>
      </c>
      <c r="N148" s="23" t="n">
        <v>46302</v>
      </c>
      <c r="O148" s="12" t="inlineStr">
        <is>
          <t>佐々木（Claude Code）</t>
        </is>
      </c>
      <c r="P148" s="12" t="inlineStr">
        <is>
          <t>自動テスト成功</t>
        </is>
      </c>
      <c r="Q148" s="12" t="inlineStr">
        <is>
          <t>evidence/UT/UT_フロントエンド_結果一覧_20261007.txt</t>
        </is>
      </c>
      <c r="R148" s="12" t="n"/>
      <c r="S148" s="12" t="n"/>
      <c r="T148" s="12" t="n"/>
    </row>
    <row r="149" ht="27" customHeight="1">
      <c r="A149" s="12" t="inlineStr">
        <is>
          <t>UT-SRCH-N10</t>
        </is>
      </c>
      <c r="B149" s="12" t="inlineStr">
        <is>
          <t>イベント検索（SC-021）</t>
        </is>
      </c>
      <c r="C149" s="12" t="inlineStr">
        <is>
          <t>正常系</t>
        </is>
      </c>
      <c r="D149" s="12" t="inlineStr">
        <is>
          <t>並び替え: 申込数の多い順</t>
        </is>
      </c>
      <c r="E149" s="12" t="inlineStr">
        <is>
          <t>-</t>
        </is>
      </c>
      <c r="F149" s="12" t="inlineStr">
        <is>
          <t>-</t>
        </is>
      </c>
      <c r="G149" s="12" t="inlineStr">
        <is>
          <t>並び替え: 申込数の多い順</t>
        </is>
      </c>
      <c r="H149" s="12" t="inlineStr">
        <is>
          <t>-</t>
        </is>
      </c>
      <c r="I149" s="12" t="inlineStr">
        <is>
          <t>-</t>
        </is>
      </c>
      <c r="J149" s="12" t="inlineStr">
        <is>
          <t>30_画面詳細設計書</t>
        </is>
      </c>
      <c r="K149" s="12" t="inlineStr">
        <is>
          <t>自動</t>
        </is>
      </c>
      <c r="L149" s="12" t="inlineStr">
        <is>
          <t>events/event-search/event-search.spec.ts</t>
        </is>
      </c>
      <c r="M149" s="12" t="inlineStr">
        <is>
          <t>OK</t>
        </is>
      </c>
      <c r="N149" s="23" t="n">
        <v>46302</v>
      </c>
      <c r="O149" s="12" t="inlineStr">
        <is>
          <t>佐々木（Claude Code）</t>
        </is>
      </c>
      <c r="P149" s="12" t="inlineStr">
        <is>
          <t>自動テスト成功</t>
        </is>
      </c>
      <c r="Q149" s="12" t="inlineStr">
        <is>
          <t>evidence/UT/UT_フロントエンド_結果一覧_20261007.txt</t>
        </is>
      </c>
      <c r="R149" s="12" t="n"/>
      <c r="S149" s="12" t="n"/>
      <c r="T149" s="12" t="n"/>
    </row>
    <row r="150" ht="27" customHeight="1">
      <c r="A150" s="12" t="inlineStr">
        <is>
          <t>UT-SRCH-N11</t>
        </is>
      </c>
      <c r="B150" s="12" t="inlineStr">
        <is>
          <t>イベント検索（SC-021）</t>
        </is>
      </c>
      <c r="C150" s="12" t="inlineStr">
        <is>
          <t>正常系</t>
        </is>
      </c>
      <c r="D150" s="12" t="inlineStr">
        <is>
          <t>並び替え: お気に入り数の多い順</t>
        </is>
      </c>
      <c r="E150" s="12" t="inlineStr">
        <is>
          <t>-</t>
        </is>
      </c>
      <c r="F150" s="12" t="inlineStr">
        <is>
          <t>-</t>
        </is>
      </c>
      <c r="G150" s="12" t="inlineStr">
        <is>
          <t>並び替え: お気に入り数の多い順</t>
        </is>
      </c>
      <c r="H150" s="12" t="inlineStr">
        <is>
          <t>-</t>
        </is>
      </c>
      <c r="I150" s="12" t="inlineStr">
        <is>
          <t>-</t>
        </is>
      </c>
      <c r="J150" s="12" t="inlineStr">
        <is>
          <t>30_画面詳細設計書</t>
        </is>
      </c>
      <c r="K150" s="12" t="inlineStr">
        <is>
          <t>自動</t>
        </is>
      </c>
      <c r="L150" s="12" t="inlineStr">
        <is>
          <t>events/event-search/event-search.spec.ts</t>
        </is>
      </c>
      <c r="M150" s="12" t="inlineStr">
        <is>
          <t>OK</t>
        </is>
      </c>
      <c r="N150" s="23" t="n">
        <v>46302</v>
      </c>
      <c r="O150" s="12" t="inlineStr">
        <is>
          <t>佐々木（Claude Code）</t>
        </is>
      </c>
      <c r="P150" s="12" t="inlineStr">
        <is>
          <t>自動テスト成功</t>
        </is>
      </c>
      <c r="Q150" s="12" t="inlineStr">
        <is>
          <t>evidence/UT/UT_フロントエンド_結果一覧_20261007.txt</t>
        </is>
      </c>
      <c r="R150" s="12" t="n"/>
      <c r="S150" s="12" t="n"/>
      <c r="T150" s="12" t="n"/>
    </row>
    <row r="151" ht="27" customHeight="1">
      <c r="A151" s="12" t="inlineStr">
        <is>
          <t>UT-SRCH-N12</t>
        </is>
      </c>
      <c r="B151" s="12" t="inlineStr">
        <is>
          <t>イベント検索（SC-021）</t>
        </is>
      </c>
      <c r="C151" s="12" t="inlineStr">
        <is>
          <t>正常系</t>
        </is>
      </c>
      <c r="D151" s="12" t="inlineStr">
        <is>
          <t>並び替え: 申込締切が近い順</t>
        </is>
      </c>
      <c r="E151" s="12" t="inlineStr">
        <is>
          <t>-</t>
        </is>
      </c>
      <c r="F151" s="12" t="inlineStr">
        <is>
          <t>-</t>
        </is>
      </c>
      <c r="G151" s="12" t="inlineStr">
        <is>
          <t>並び替え: 申込締切が近い順</t>
        </is>
      </c>
      <c r="H151" s="12" t="inlineStr">
        <is>
          <t>-</t>
        </is>
      </c>
      <c r="I151" s="12" t="inlineStr">
        <is>
          <t>-</t>
        </is>
      </c>
      <c r="J151" s="12" t="inlineStr">
        <is>
          <t>30_画面詳細設計書</t>
        </is>
      </c>
      <c r="K151" s="12" t="inlineStr">
        <is>
          <t>自動</t>
        </is>
      </c>
      <c r="L151" s="12" t="inlineStr">
        <is>
          <t>events/event-search/event-search.spec.ts</t>
        </is>
      </c>
      <c r="M151" s="12" t="inlineStr">
        <is>
          <t>OK</t>
        </is>
      </c>
      <c r="N151" s="23" t="n">
        <v>46302</v>
      </c>
      <c r="O151" s="12" t="inlineStr">
        <is>
          <t>佐々木（Claude Code）</t>
        </is>
      </c>
      <c r="P151" s="12" t="inlineStr">
        <is>
          <t>自動テスト成功</t>
        </is>
      </c>
      <c r="Q151" s="12" t="inlineStr">
        <is>
          <t>evidence/UT/UT_フロントエンド_結果一覧_20261007.txt</t>
        </is>
      </c>
      <c r="R151" s="12" t="n"/>
      <c r="S151" s="12" t="n"/>
      <c r="T151" s="12" t="n"/>
    </row>
    <row r="152" ht="27" customHeight="1">
      <c r="A152" s="12" t="inlineStr">
        <is>
          <t>UT-MY-N01</t>
        </is>
      </c>
      <c r="B152" s="12" t="inlineStr">
        <is>
          <t>マイページ（SC-030）</t>
        </is>
      </c>
      <c r="C152" s="12" t="inlineStr">
        <is>
          <t>正常系</t>
        </is>
      </c>
      <c r="D152" s="12" t="inlineStr">
        <is>
          <t>初期表示で申込一覧を取得する</t>
        </is>
      </c>
      <c r="E152" s="12" t="inlineStr">
        <is>
          <t>-</t>
        </is>
      </c>
      <c r="F152" s="12" t="inlineStr">
        <is>
          <t>-</t>
        </is>
      </c>
      <c r="G152" s="12" t="inlineStr">
        <is>
          <t>初期表示で申込一覧を取得する</t>
        </is>
      </c>
      <c r="H152" s="12" t="inlineStr">
        <is>
          <t>-</t>
        </is>
      </c>
      <c r="I152" s="12" t="inlineStr">
        <is>
          <t>-</t>
        </is>
      </c>
      <c r="J152" s="12" t="inlineStr">
        <is>
          <t>30_画面詳細設計書</t>
        </is>
      </c>
      <c r="K152" s="12" t="inlineStr">
        <is>
          <t>自動</t>
        </is>
      </c>
      <c r="L152" s="12" t="inlineStr">
        <is>
          <t>my-applications/my-applications.spec.ts</t>
        </is>
      </c>
      <c r="M152" s="12" t="inlineStr">
        <is>
          <t>OK</t>
        </is>
      </c>
      <c r="N152" s="23" t="n">
        <v>46302</v>
      </c>
      <c r="O152" s="12" t="inlineStr">
        <is>
          <t>佐々木（Claude Code）</t>
        </is>
      </c>
      <c r="P152" s="12" t="inlineStr">
        <is>
          <t>自動テスト成功</t>
        </is>
      </c>
      <c r="Q152" s="12" t="inlineStr">
        <is>
          <t>evidence/UT/UT_フロントエンド_結果一覧_20261007.txt</t>
        </is>
      </c>
      <c r="R152" s="12" t="n"/>
      <c r="S152" s="12" t="n"/>
      <c r="T152" s="12" t="n"/>
    </row>
    <row r="153" ht="27" customHeight="1">
      <c r="A153" s="12" t="inlineStr">
        <is>
          <t>UT-MY-N02</t>
        </is>
      </c>
      <c r="B153" s="12" t="inlineStr">
        <is>
          <t>マイページ（SC-030）</t>
        </is>
      </c>
      <c r="C153" s="12" t="inlineStr">
        <is>
          <t>正常系</t>
        </is>
      </c>
      <c r="D153" s="12" t="inlineStr">
        <is>
          <t>初期表示でお気に入り一覧を取得する</t>
        </is>
      </c>
      <c r="E153" s="12" t="inlineStr">
        <is>
          <t>-</t>
        </is>
      </c>
      <c r="F153" s="12" t="inlineStr">
        <is>
          <t>-</t>
        </is>
      </c>
      <c r="G153" s="12" t="inlineStr">
        <is>
          <t>初期表示でお気に入り一覧を取得する</t>
        </is>
      </c>
      <c r="H153" s="12" t="inlineStr">
        <is>
          <t>-</t>
        </is>
      </c>
      <c r="I153" s="12" t="inlineStr">
        <is>
          <t>-</t>
        </is>
      </c>
      <c r="J153" s="12" t="inlineStr">
        <is>
          <t>30_画面詳細設計書</t>
        </is>
      </c>
      <c r="K153" s="12" t="inlineStr">
        <is>
          <t>自動</t>
        </is>
      </c>
      <c r="L153" s="12" t="inlineStr">
        <is>
          <t>my-applications/my-applications.spec.ts</t>
        </is>
      </c>
      <c r="M153" s="12" t="inlineStr">
        <is>
          <t>OK</t>
        </is>
      </c>
      <c r="N153" s="23" t="n">
        <v>46302</v>
      </c>
      <c r="O153" s="12" t="inlineStr">
        <is>
          <t>佐々木（Claude Code）</t>
        </is>
      </c>
      <c r="P153" s="12" t="inlineStr">
        <is>
          <t>自動テスト成功</t>
        </is>
      </c>
      <c r="Q153" s="12" t="inlineStr">
        <is>
          <t>evidence/UT/UT_フロントエンド_結果一覧_20261007.txt</t>
        </is>
      </c>
      <c r="R153" s="12" t="n"/>
      <c r="S153" s="12" t="n"/>
      <c r="T153" s="12" t="n"/>
    </row>
    <row r="154" ht="27" customHeight="1">
      <c r="A154" s="12" t="inlineStr">
        <is>
          <t>UT-MY-N03</t>
        </is>
      </c>
      <c r="B154" s="12" t="inlineStr">
        <is>
          <t>マイページ（SC-030）</t>
        </is>
      </c>
      <c r="C154" s="12" t="inlineStr">
        <is>
          <t>正常系</t>
        </is>
      </c>
      <c r="D154" s="12" t="inlineStr">
        <is>
          <t>タブ切替でactiveTabが切り替わる</t>
        </is>
      </c>
      <c r="E154" s="12" t="inlineStr">
        <is>
          <t>-</t>
        </is>
      </c>
      <c r="F154" s="12" t="inlineStr">
        <is>
          <t>-</t>
        </is>
      </c>
      <c r="G154" s="12" t="inlineStr">
        <is>
          <t>タブ切替でactiveTabが切り替わる</t>
        </is>
      </c>
      <c r="H154" s="12" t="inlineStr">
        <is>
          <t>-</t>
        </is>
      </c>
      <c r="I154" s="12" t="inlineStr">
        <is>
          <t>-</t>
        </is>
      </c>
      <c r="J154" s="12" t="inlineStr">
        <is>
          <t>30_画面詳細設計書</t>
        </is>
      </c>
      <c r="K154" s="12" t="inlineStr">
        <is>
          <t>自動</t>
        </is>
      </c>
      <c r="L154" s="12" t="inlineStr">
        <is>
          <t>my-applications/my-applications.spec.ts</t>
        </is>
      </c>
      <c r="M154" s="12" t="inlineStr">
        <is>
          <t>OK</t>
        </is>
      </c>
      <c r="N154" s="23" t="n">
        <v>46302</v>
      </c>
      <c r="O154" s="12" t="inlineStr">
        <is>
          <t>佐々木（Claude Code）</t>
        </is>
      </c>
      <c r="P154" s="12" t="inlineStr">
        <is>
          <t>自動テスト成功</t>
        </is>
      </c>
      <c r="Q154" s="12" t="inlineStr">
        <is>
          <t>evidence/UT/UT_フロントエンド_結果一覧_20261007.txt</t>
        </is>
      </c>
      <c r="R154" s="12" t="n"/>
      <c r="S154" s="12" t="n"/>
      <c r="T154" s="12" t="n"/>
    </row>
    <row r="155" ht="27" customHeight="1">
      <c r="A155" s="12" t="inlineStr">
        <is>
          <t>UT-MY-N04</t>
        </is>
      </c>
      <c r="B155" s="12" t="inlineStr">
        <is>
          <t>マイページ（SC-030）</t>
        </is>
      </c>
      <c r="C155" s="12" t="inlineStr">
        <is>
          <t>正常系</t>
        </is>
      </c>
      <c r="D155" s="12" t="inlineStr">
        <is>
          <t>キャンセル確認でOKした場合、APIを呼び一覧を再取得する</t>
        </is>
      </c>
      <c r="E155" s="12" t="inlineStr">
        <is>
          <t>-</t>
        </is>
      </c>
      <c r="F155" s="12" t="inlineStr">
        <is>
          <t>-</t>
        </is>
      </c>
      <c r="G155" s="12" t="inlineStr">
        <is>
          <t>キャンセル確認でOKした場合、APIを呼び一覧を再取得する</t>
        </is>
      </c>
      <c r="H155" s="12" t="inlineStr">
        <is>
          <t>-</t>
        </is>
      </c>
      <c r="I155" s="12" t="inlineStr">
        <is>
          <t>-</t>
        </is>
      </c>
      <c r="J155" s="12" t="inlineStr">
        <is>
          <t>30_画面詳細設計書</t>
        </is>
      </c>
      <c r="K155" s="12" t="inlineStr">
        <is>
          <t>自動</t>
        </is>
      </c>
      <c r="L155" s="12" t="inlineStr">
        <is>
          <t>my-applications/my-applications.spec.ts</t>
        </is>
      </c>
      <c r="M155" s="12" t="inlineStr">
        <is>
          <t>OK</t>
        </is>
      </c>
      <c r="N155" s="23" t="n">
        <v>46302</v>
      </c>
      <c r="O155" s="12" t="inlineStr">
        <is>
          <t>佐々木（Claude Code）</t>
        </is>
      </c>
      <c r="P155" s="12" t="inlineStr">
        <is>
          <t>自動テスト成功</t>
        </is>
      </c>
      <c r="Q155" s="12" t="inlineStr">
        <is>
          <t>evidence/UT/UT_フロントエンド_結果一覧_20261007.txt</t>
        </is>
      </c>
      <c r="R155" s="12" t="n"/>
      <c r="S155" s="12" t="n"/>
      <c r="T155" s="12" t="n"/>
    </row>
    <row r="156" ht="27" customHeight="1">
      <c r="A156" s="12" t="inlineStr">
        <is>
          <t>UT-MY-N05</t>
        </is>
      </c>
      <c r="B156" s="12" t="inlineStr">
        <is>
          <t>マイページ（SC-030）</t>
        </is>
      </c>
      <c r="C156" s="12" t="inlineStr">
        <is>
          <t>正常系</t>
        </is>
      </c>
      <c r="D156" s="12" t="inlineStr">
        <is>
          <t>キャンセル確認でキャンセルした場合、APIを呼ばない</t>
        </is>
      </c>
      <c r="E156" s="12" t="inlineStr">
        <is>
          <t>-</t>
        </is>
      </c>
      <c r="F156" s="12" t="inlineStr">
        <is>
          <t>-</t>
        </is>
      </c>
      <c r="G156" s="12" t="inlineStr">
        <is>
          <t>キャンセル確認でキャンセルした場合、APIを呼ばない</t>
        </is>
      </c>
      <c r="H156" s="12" t="inlineStr">
        <is>
          <t>-</t>
        </is>
      </c>
      <c r="I156" s="12" t="inlineStr">
        <is>
          <t>-</t>
        </is>
      </c>
      <c r="J156" s="12" t="inlineStr">
        <is>
          <t>30_画面詳細設計書</t>
        </is>
      </c>
      <c r="K156" s="12" t="inlineStr">
        <is>
          <t>自動</t>
        </is>
      </c>
      <c r="L156" s="12" t="inlineStr">
        <is>
          <t>my-applications/my-applications.spec.ts</t>
        </is>
      </c>
      <c r="M156" s="12" t="inlineStr">
        <is>
          <t>OK</t>
        </is>
      </c>
      <c r="N156" s="23" t="n">
        <v>46302</v>
      </c>
      <c r="O156" s="12" t="inlineStr">
        <is>
          <t>佐々木（Claude Code）</t>
        </is>
      </c>
      <c r="P156" s="12" t="inlineStr">
        <is>
          <t>自動テスト成功</t>
        </is>
      </c>
      <c r="Q156" s="12" t="inlineStr">
        <is>
          <t>evidence/UT/UT_フロントエンド_結果一覧_20261007.txt</t>
        </is>
      </c>
      <c r="R156" s="12" t="n"/>
      <c r="S156" s="12" t="n"/>
      <c r="T156" s="12" t="n"/>
    </row>
    <row r="157" ht="27" customHeight="1">
      <c r="A157" s="12" t="inlineStr">
        <is>
          <t>UT-MY-N06</t>
        </is>
      </c>
      <c r="B157" s="12" t="inlineStr">
        <is>
          <t>マイページ（SC-030）</t>
        </is>
      </c>
      <c r="C157" s="12" t="inlineStr">
        <is>
          <t>正常系</t>
        </is>
      </c>
      <c r="D157" s="12" t="inlineStr">
        <is>
          <t>お気に入り解除でAPIを呼び、ストアを無効化してから一覧を再取得する</t>
        </is>
      </c>
      <c r="E157" s="12" t="inlineStr">
        <is>
          <t>-</t>
        </is>
      </c>
      <c r="F157" s="12" t="inlineStr">
        <is>
          <t>-</t>
        </is>
      </c>
      <c r="G157" s="12" t="inlineStr">
        <is>
          <t>お気に入り解除でAPIを呼び、ストアを無効化してから一覧を再取得する</t>
        </is>
      </c>
      <c r="H157" s="12" t="inlineStr">
        <is>
          <t>-</t>
        </is>
      </c>
      <c r="I157" s="12" t="inlineStr">
        <is>
          <t>-</t>
        </is>
      </c>
      <c r="J157" s="12" t="inlineStr">
        <is>
          <t>30_画面詳細設計書</t>
        </is>
      </c>
      <c r="K157" s="12" t="inlineStr">
        <is>
          <t>自動</t>
        </is>
      </c>
      <c r="L157" s="12" t="inlineStr">
        <is>
          <t>my-applications/my-applications.spec.ts</t>
        </is>
      </c>
      <c r="M157" s="12" t="inlineStr">
        <is>
          <t>OK</t>
        </is>
      </c>
      <c r="N157" s="23" t="n">
        <v>46302</v>
      </c>
      <c r="O157" s="12" t="inlineStr">
        <is>
          <t>佐々木（Claude Code）</t>
        </is>
      </c>
      <c r="P157" s="12" t="inlineStr">
        <is>
          <t>自動テスト成功</t>
        </is>
      </c>
      <c r="Q157" s="12" t="inlineStr">
        <is>
          <t>evidence/UT/UT_フロントエンド_結果一覧_20261007.txt</t>
        </is>
      </c>
      <c r="R157" s="12" t="n"/>
      <c r="S157" s="12" t="n"/>
      <c r="T157" s="12" t="n"/>
    </row>
    <row r="158" ht="27" customHeight="1">
      <c r="A158" s="12" t="inlineStr">
        <is>
          <t>UT-MY-E01</t>
        </is>
      </c>
      <c r="B158" s="12" t="inlineStr">
        <is>
          <t>マイページ（SC-030）</t>
        </is>
      </c>
      <c r="C158" s="12" t="inlineStr">
        <is>
          <t>異常系</t>
        </is>
      </c>
      <c r="D158" s="12" t="inlineStr">
        <is>
          <t>申込一覧の取得に失敗した場合はエラーメッセージを表示する</t>
        </is>
      </c>
      <c r="E158" s="12" t="inlineStr">
        <is>
          <t>-</t>
        </is>
      </c>
      <c r="F158" s="12" t="inlineStr">
        <is>
          <t>-</t>
        </is>
      </c>
      <c r="G158" s="12" t="inlineStr">
        <is>
          <t>申込一覧の取得に失敗した場合はエラーメッセージを表示する</t>
        </is>
      </c>
      <c r="H158" s="12" t="inlineStr">
        <is>
          <t>-</t>
        </is>
      </c>
      <c r="I158" s="12" t="inlineStr">
        <is>
          <t>-</t>
        </is>
      </c>
      <c r="J158" s="12" t="inlineStr">
        <is>
          <t>30_画面詳細設計書</t>
        </is>
      </c>
      <c r="K158" s="12" t="inlineStr">
        <is>
          <t>自動</t>
        </is>
      </c>
      <c r="L158" s="12" t="inlineStr">
        <is>
          <t>my-applications/my-applications.spec.ts</t>
        </is>
      </c>
      <c r="M158" s="12" t="inlineStr">
        <is>
          <t>OK</t>
        </is>
      </c>
      <c r="N158" s="23" t="n">
        <v>46302</v>
      </c>
      <c r="O158" s="12" t="inlineStr">
        <is>
          <t>佐々木（Claude Code）</t>
        </is>
      </c>
      <c r="P158" s="12" t="inlineStr">
        <is>
          <t>自動テスト成功</t>
        </is>
      </c>
      <c r="Q158" s="12" t="inlineStr">
        <is>
          <t>evidence/UT/UT_フロントエンド_結果一覧_20261007.txt</t>
        </is>
      </c>
      <c r="R158" s="12" t="n"/>
      <c r="S158" s="12" t="n"/>
      <c r="T158" s="12" t="n"/>
    </row>
    <row r="159" ht="27" customHeight="1">
      <c r="A159" s="12" t="inlineStr">
        <is>
          <t>UT-ORD-N01</t>
        </is>
      </c>
      <c r="B159" s="12" t="inlineStr">
        <is>
          <t>開催済みのイベントを末尾に並べる共通処理</t>
        </is>
      </c>
      <c r="C159" s="12" t="inlineStr">
        <is>
          <t>正常系</t>
        </is>
      </c>
      <c r="D159" s="12" t="inlineStr">
        <is>
          <t>isHeld: 開催日時が現在時刻より前なら開催済み</t>
        </is>
      </c>
      <c r="E159" s="12" t="inlineStr">
        <is>
          <t>-</t>
        </is>
      </c>
      <c r="F159" s="12" t="inlineStr">
        <is>
          <t>-</t>
        </is>
      </c>
      <c r="G159" s="12" t="inlineStr">
        <is>
          <t>isHeld: 開催日時が現在時刻より前なら開催済み</t>
        </is>
      </c>
      <c r="H159" s="12" t="inlineStr">
        <is>
          <t>-</t>
        </is>
      </c>
      <c r="I159" s="12" t="inlineStr">
        <is>
          <t>-</t>
        </is>
      </c>
      <c r="J159" s="12" t="inlineStr">
        <is>
          <t>30_画面詳細設計書</t>
        </is>
      </c>
      <c r="K159" s="12" t="inlineStr">
        <is>
          <t>自動</t>
        </is>
      </c>
      <c r="L159" s="12" t="inlineStr">
        <is>
          <t>core/event-order.spec.ts</t>
        </is>
      </c>
      <c r="M159" s="12" t="inlineStr">
        <is>
          <t>OK</t>
        </is>
      </c>
      <c r="N159" s="23" t="n">
        <v>46302</v>
      </c>
      <c r="O159" s="12" t="inlineStr">
        <is>
          <t>佐々木（Claude Code）</t>
        </is>
      </c>
      <c r="P159" s="12" t="inlineStr">
        <is>
          <t>自動テスト成功</t>
        </is>
      </c>
      <c r="Q159" s="12" t="inlineStr">
        <is>
          <t>evidence/UT/UT_フロントエンド_結果一覧_20261007.txt</t>
        </is>
      </c>
      <c r="R159" s="12" t="n"/>
      <c r="S159" s="12" t="n"/>
      <c r="T159" s="12" t="n"/>
    </row>
    <row r="160" ht="27" customHeight="1">
      <c r="A160" s="12" t="inlineStr">
        <is>
          <t>UT-ORD-N02</t>
        </is>
      </c>
      <c r="B160" s="12" t="inlineStr">
        <is>
          <t>開催済みのイベントを末尾に並べる共通処理</t>
        </is>
      </c>
      <c r="C160" s="12" t="inlineStr">
        <is>
          <t>正常系</t>
        </is>
      </c>
      <c r="D160" s="12" t="inlineStr">
        <is>
          <t>isHeld: 開催日時が現在時刻ちょうどなら開催済み（境界）</t>
        </is>
      </c>
      <c r="E160" s="12" t="inlineStr">
        <is>
          <t>-</t>
        </is>
      </c>
      <c r="F160" s="12" t="inlineStr">
        <is>
          <t>-</t>
        </is>
      </c>
      <c r="G160" s="12" t="inlineStr">
        <is>
          <t>isHeld: 開催日時が現在時刻ちょうどなら開催済み（境界）</t>
        </is>
      </c>
      <c r="H160" s="12" t="inlineStr">
        <is>
          <t>-</t>
        </is>
      </c>
      <c r="I160" s="12" t="inlineStr">
        <is>
          <t>-</t>
        </is>
      </c>
      <c r="J160" s="12" t="inlineStr">
        <is>
          <t>30_画面詳細設計書</t>
        </is>
      </c>
      <c r="K160" s="12" t="inlineStr">
        <is>
          <t>自動</t>
        </is>
      </c>
      <c r="L160" s="12" t="inlineStr">
        <is>
          <t>core/event-order.spec.ts</t>
        </is>
      </c>
      <c r="M160" s="12" t="inlineStr">
        <is>
          <t>OK</t>
        </is>
      </c>
      <c r="N160" s="23" t="n">
        <v>46302</v>
      </c>
      <c r="O160" s="12" t="inlineStr">
        <is>
          <t>佐々木（Claude Code）</t>
        </is>
      </c>
      <c r="P160" s="12" t="inlineStr">
        <is>
          <t>自動テスト成功</t>
        </is>
      </c>
      <c r="Q160" s="12" t="inlineStr">
        <is>
          <t>evidence/UT/UT_フロントエンド_結果一覧_20261007.txt</t>
        </is>
      </c>
      <c r="R160" s="12" t="n"/>
      <c r="S160" s="12" t="n"/>
      <c r="T160" s="12" t="n"/>
    </row>
    <row r="161" ht="27" customHeight="1">
      <c r="A161" s="12" t="inlineStr">
        <is>
          <t>UT-ORD-N03</t>
        </is>
      </c>
      <c r="B161" s="12" t="inlineStr">
        <is>
          <t>開催済みのイベントを末尾に並べる共通処理</t>
        </is>
      </c>
      <c r="C161" s="12" t="inlineStr">
        <is>
          <t>正常系</t>
        </is>
      </c>
      <c r="D161" s="12" t="inlineStr">
        <is>
          <t>isHeld: 開催日時が現在時刻より後なら開催前</t>
        </is>
      </c>
      <c r="E161" s="12" t="inlineStr">
        <is>
          <t>-</t>
        </is>
      </c>
      <c r="F161" s="12" t="inlineStr">
        <is>
          <t>-</t>
        </is>
      </c>
      <c r="G161" s="12" t="inlineStr">
        <is>
          <t>isHeld: 開催日時が現在時刻より後なら開催前</t>
        </is>
      </c>
      <c r="H161" s="12" t="inlineStr">
        <is>
          <t>-</t>
        </is>
      </c>
      <c r="I161" s="12" t="inlineStr">
        <is>
          <t>-</t>
        </is>
      </c>
      <c r="J161" s="12" t="inlineStr">
        <is>
          <t>30_画面詳細設計書</t>
        </is>
      </c>
      <c r="K161" s="12" t="inlineStr">
        <is>
          <t>自動</t>
        </is>
      </c>
      <c r="L161" s="12" t="inlineStr">
        <is>
          <t>core/event-order.spec.ts</t>
        </is>
      </c>
      <c r="M161" s="12" t="inlineStr">
        <is>
          <t>OK</t>
        </is>
      </c>
      <c r="N161" s="23" t="n">
        <v>46302</v>
      </c>
      <c r="O161" s="12" t="inlineStr">
        <is>
          <t>佐々木（Claude Code）</t>
        </is>
      </c>
      <c r="P161" s="12" t="inlineStr">
        <is>
          <t>自動テスト成功</t>
        </is>
      </c>
      <c r="Q161" s="12" t="inlineStr">
        <is>
          <t>evidence/UT/UT_フロントエンド_結果一覧_20261007.txt</t>
        </is>
      </c>
      <c r="R161" s="12" t="n"/>
      <c r="S161" s="12" t="n"/>
      <c r="T161" s="12" t="n"/>
    </row>
    <row r="162" ht="27" customHeight="1">
      <c r="A162" s="12" t="inlineStr">
        <is>
          <t>UT-ORD-N04</t>
        </is>
      </c>
      <c r="B162" s="12" t="inlineStr">
        <is>
          <t>開催済みのイベントを末尾に並べる共通処理</t>
        </is>
      </c>
      <c r="C162" s="12" t="inlineStr">
        <is>
          <t>正常系</t>
        </is>
      </c>
      <c r="D162" s="12" t="inlineStr">
        <is>
          <t>moveHeldEventsLast: 開催済みを末尾に移し、それぞれの中の順序は保つ</t>
        </is>
      </c>
      <c r="E162" s="12" t="inlineStr">
        <is>
          <t>-</t>
        </is>
      </c>
      <c r="F162" s="12" t="inlineStr">
        <is>
          <t>-</t>
        </is>
      </c>
      <c r="G162" s="12" t="inlineStr">
        <is>
          <t>moveHeldEventsLast: 開催済みを末尾に移し、それぞれの中の順序は保つ</t>
        </is>
      </c>
      <c r="H162" s="12" t="inlineStr">
        <is>
          <t>-</t>
        </is>
      </c>
      <c r="I162" s="12" t="inlineStr">
        <is>
          <t>-</t>
        </is>
      </c>
      <c r="J162" s="12" t="inlineStr">
        <is>
          <t>30_画面詳細設計書</t>
        </is>
      </c>
      <c r="K162" s="12" t="inlineStr">
        <is>
          <t>自動</t>
        </is>
      </c>
      <c r="L162" s="12" t="inlineStr">
        <is>
          <t>core/event-order.spec.ts</t>
        </is>
      </c>
      <c r="M162" s="12" t="inlineStr">
        <is>
          <t>OK</t>
        </is>
      </c>
      <c r="N162" s="23" t="n">
        <v>46302</v>
      </c>
      <c r="O162" s="12" t="inlineStr">
        <is>
          <t>佐々木（Claude Code）</t>
        </is>
      </c>
      <c r="P162" s="12" t="inlineStr">
        <is>
          <t>自動テスト成功</t>
        </is>
      </c>
      <c r="Q162" s="12" t="inlineStr">
        <is>
          <t>evidence/UT/UT_フロントエンド_結果一覧_20261007.txt</t>
        </is>
      </c>
      <c r="R162" s="12" t="n"/>
      <c r="S162" s="12" t="n"/>
      <c r="T162" s="12" t="n"/>
    </row>
    <row r="163" ht="27" customHeight="1">
      <c r="A163" s="12" t="inlineStr">
        <is>
          <t>UT-ORD-N05</t>
        </is>
      </c>
      <c r="B163" s="12" t="inlineStr">
        <is>
          <t>開催済みのイベントを末尾に並べる共通処理</t>
        </is>
      </c>
      <c r="C163" s="12" t="inlineStr">
        <is>
          <t>正常系</t>
        </is>
      </c>
      <c r="D163" s="12" t="inlineStr">
        <is>
          <t>moveHeldEventsLast: 開催済みが無ければ順序は変わらない</t>
        </is>
      </c>
      <c r="E163" s="12" t="inlineStr">
        <is>
          <t>-</t>
        </is>
      </c>
      <c r="F163" s="12" t="inlineStr">
        <is>
          <t>-</t>
        </is>
      </c>
      <c r="G163" s="12" t="inlineStr">
        <is>
          <t>moveHeldEventsLast: 開催済みが無ければ順序は変わらない</t>
        </is>
      </c>
      <c r="H163" s="12" t="inlineStr">
        <is>
          <t>-</t>
        </is>
      </c>
      <c r="I163" s="12" t="inlineStr">
        <is>
          <t>-</t>
        </is>
      </c>
      <c r="J163" s="12" t="inlineStr">
        <is>
          <t>30_画面詳細設計書</t>
        </is>
      </c>
      <c r="K163" s="12" t="inlineStr">
        <is>
          <t>自動</t>
        </is>
      </c>
      <c r="L163" s="12" t="inlineStr">
        <is>
          <t>core/event-order.spec.ts</t>
        </is>
      </c>
      <c r="M163" s="12" t="inlineStr">
        <is>
          <t>OK</t>
        </is>
      </c>
      <c r="N163" s="23" t="n">
        <v>46302</v>
      </c>
      <c r="O163" s="12" t="inlineStr">
        <is>
          <t>佐々木（Claude Code）</t>
        </is>
      </c>
      <c r="P163" s="12" t="inlineStr">
        <is>
          <t>自動テスト成功</t>
        </is>
      </c>
      <c r="Q163" s="12" t="inlineStr">
        <is>
          <t>evidence/UT/UT_フロントエンド_結果一覧_20261007.txt</t>
        </is>
      </c>
      <c r="R163" s="12" t="n"/>
      <c r="S163" s="12" t="n"/>
      <c r="T163" s="12" t="n"/>
    </row>
    <row r="164" ht="27" customHeight="1">
      <c r="A164" s="12" t="inlineStr">
        <is>
          <t>UT-ORD-N06</t>
        </is>
      </c>
      <c r="B164" s="12" t="inlineStr">
        <is>
          <t>開催済みのイベントを末尾に並べる共通処理</t>
        </is>
      </c>
      <c r="C164" s="12" t="inlineStr">
        <is>
          <t>正常系</t>
        </is>
      </c>
      <c r="D164" s="12" t="inlineStr">
        <is>
          <t>moveHeldEventsLast: 渡された配列そのものは変更せず、新しい配列を返す</t>
        </is>
      </c>
      <c r="E164" s="12" t="inlineStr">
        <is>
          <t>-</t>
        </is>
      </c>
      <c r="F164" s="12" t="inlineStr">
        <is>
          <t>-</t>
        </is>
      </c>
      <c r="G164" s="12" t="inlineStr">
        <is>
          <t>moveHeldEventsLast: 渡された配列そのものは変更せず、新しい配列を返す</t>
        </is>
      </c>
      <c r="H164" s="12" t="inlineStr">
        <is>
          <t>-</t>
        </is>
      </c>
      <c r="I164" s="12" t="inlineStr">
        <is>
          <t>-</t>
        </is>
      </c>
      <c r="J164" s="12" t="inlineStr">
        <is>
          <t>30_画面詳細設計書</t>
        </is>
      </c>
      <c r="K164" s="12" t="inlineStr">
        <is>
          <t>自動</t>
        </is>
      </c>
      <c r="L164" s="12" t="inlineStr">
        <is>
          <t>core/event-order.spec.ts</t>
        </is>
      </c>
      <c r="M164" s="12" t="inlineStr">
        <is>
          <t>OK</t>
        </is>
      </c>
      <c r="N164" s="23" t="n">
        <v>46302</v>
      </c>
      <c r="O164" s="12" t="inlineStr">
        <is>
          <t>佐々木（Claude Code）</t>
        </is>
      </c>
      <c r="P164" s="12" t="inlineStr">
        <is>
          <t>自動テスト成功</t>
        </is>
      </c>
      <c r="Q164" s="12" t="inlineStr">
        <is>
          <t>evidence/UT/UT_フロントエンド_結果一覧_20261007.txt</t>
        </is>
      </c>
      <c r="R164" s="12" t="n"/>
      <c r="S164" s="12" t="n"/>
      <c r="T164" s="12" t="n"/>
    </row>
    <row r="165" ht="27" customHeight="1">
      <c r="A165" s="12" t="inlineStr">
        <is>
          <t>UT-ORD-N07</t>
        </is>
      </c>
      <c r="B165" s="12" t="inlineStr">
        <is>
          <t>開催済みのイベントを末尾に並べる共通処理</t>
        </is>
      </c>
      <c r="C165" s="12" t="inlineStr">
        <is>
          <t>正常系</t>
        </is>
      </c>
      <c r="D165" s="12" t="inlineStr">
        <is>
          <t>moveHeldEventsLast: すべて開催済みの場合は順序を変えずに返す</t>
        </is>
      </c>
      <c r="E165" s="12" t="inlineStr">
        <is>
          <t>-</t>
        </is>
      </c>
      <c r="F165" s="12" t="inlineStr">
        <is>
          <t>-</t>
        </is>
      </c>
      <c r="G165" s="12" t="inlineStr">
        <is>
          <t>moveHeldEventsLast: すべて開催済みの場合は順序を変えずに返す</t>
        </is>
      </c>
      <c r="H165" s="12" t="inlineStr">
        <is>
          <t>-</t>
        </is>
      </c>
      <c r="I165" s="12" t="inlineStr">
        <is>
          <t>-</t>
        </is>
      </c>
      <c r="J165" s="12" t="inlineStr">
        <is>
          <t>30_画面詳細設計書</t>
        </is>
      </c>
      <c r="K165" s="12" t="inlineStr">
        <is>
          <t>自動</t>
        </is>
      </c>
      <c r="L165" s="12" t="inlineStr">
        <is>
          <t>core/event-order.spec.ts</t>
        </is>
      </c>
      <c r="M165" s="12" t="inlineStr">
        <is>
          <t>OK</t>
        </is>
      </c>
      <c r="N165" s="23" t="n">
        <v>46302</v>
      </c>
      <c r="O165" s="12" t="inlineStr">
        <is>
          <t>佐々木（Claude Code）</t>
        </is>
      </c>
      <c r="P165" s="12" t="inlineStr">
        <is>
          <t>自動テスト成功</t>
        </is>
      </c>
      <c r="Q165" s="12" t="inlineStr">
        <is>
          <t>evidence/UT/UT_フロントエンド_結果一覧_20261007.txt</t>
        </is>
      </c>
      <c r="R165" s="12" t="n"/>
      <c r="S165" s="12" t="n"/>
      <c r="T165" s="12" t="n"/>
    </row>
    <row r="166" ht="27" customHeight="1">
      <c r="A166" s="12" t="inlineStr">
        <is>
          <t>UT-ORD-N08</t>
        </is>
      </c>
      <c r="B166" s="12" t="inlineStr">
        <is>
          <t>開催済みのイベントを末尾に並べる共通処理</t>
        </is>
      </c>
      <c r="C166" s="12" t="inlineStr">
        <is>
          <t>正常系</t>
        </is>
      </c>
      <c r="D166" s="12" t="inlineStr">
        <is>
          <t>moveHeldEventsLast: 空の配列を渡すと空の配列を返す</t>
        </is>
      </c>
      <c r="E166" s="12" t="inlineStr">
        <is>
          <t>-</t>
        </is>
      </c>
      <c r="F166" s="12" t="inlineStr">
        <is>
          <t>-</t>
        </is>
      </c>
      <c r="G166" s="12" t="inlineStr">
        <is>
          <t>moveHeldEventsLast: 空の配列を渡すと空の配列を返す</t>
        </is>
      </c>
      <c r="H166" s="12" t="inlineStr">
        <is>
          <t>-</t>
        </is>
      </c>
      <c r="I166" s="12" t="inlineStr">
        <is>
          <t>-</t>
        </is>
      </c>
      <c r="J166" s="12" t="inlineStr">
        <is>
          <t>30_画面詳細設計書</t>
        </is>
      </c>
      <c r="K166" s="12" t="inlineStr">
        <is>
          <t>自動</t>
        </is>
      </c>
      <c r="L166" s="12" t="inlineStr">
        <is>
          <t>core/event-order.spec.ts</t>
        </is>
      </c>
      <c r="M166" s="12" t="inlineStr">
        <is>
          <t>OK</t>
        </is>
      </c>
      <c r="N166" s="23" t="n">
        <v>46302</v>
      </c>
      <c r="O166" s="12" t="inlineStr">
        <is>
          <t>佐々木（Claude Code）</t>
        </is>
      </c>
      <c r="P166" s="12" t="inlineStr">
        <is>
          <t>自動テスト成功</t>
        </is>
      </c>
      <c r="Q166" s="12" t="inlineStr">
        <is>
          <t>evidence/UT/UT_フロントエンド_結果一覧_20261007.txt</t>
        </is>
      </c>
      <c r="R166" s="12" t="n"/>
      <c r="S166" s="12" t="n"/>
      <c r="T166" s="12" t="n"/>
    </row>
    <row r="167" ht="27" customHeight="1">
      <c r="A167" s="12" t="inlineStr">
        <is>
          <t>UT-TREE-N01</t>
        </is>
      </c>
      <c r="B167" s="12" t="inlineStr">
        <is>
          <t>コメントを返信の木構造に組み立てる処理</t>
        </is>
      </c>
      <c r="C167" s="12" t="inlineStr">
        <is>
          <t>正常系</t>
        </is>
      </c>
      <c r="D167" s="12" t="inlineStr">
        <is>
          <t>親を持たないコメントはすべてルートになる</t>
        </is>
      </c>
      <c r="E167" s="12" t="inlineStr">
        <is>
          <t>-</t>
        </is>
      </c>
      <c r="F167" s="12" t="inlineStr">
        <is>
          <t>-</t>
        </is>
      </c>
      <c r="G167" s="12" t="inlineStr">
        <is>
          <t>親を持たないコメントはすべてルートになる</t>
        </is>
      </c>
      <c r="H167" s="12" t="inlineStr">
        <is>
          <t>-</t>
        </is>
      </c>
      <c r="I167" s="12" t="inlineStr">
        <is>
          <t>-</t>
        </is>
      </c>
      <c r="J167" s="12" t="inlineStr">
        <is>
          <t>30_画面詳細設計書</t>
        </is>
      </c>
      <c r="K167" s="12" t="inlineStr">
        <is>
          <t>自動</t>
        </is>
      </c>
      <c r="L167" s="12" t="inlineStr">
        <is>
          <t>core/comment-api.spec.ts</t>
        </is>
      </c>
      <c r="M167" s="12" t="inlineStr">
        <is>
          <t>OK</t>
        </is>
      </c>
      <c r="N167" s="23" t="n">
        <v>46302</v>
      </c>
      <c r="O167" s="12" t="inlineStr">
        <is>
          <t>佐々木（Claude Code）</t>
        </is>
      </c>
      <c r="P167" s="12" t="inlineStr">
        <is>
          <t>自動テスト成功</t>
        </is>
      </c>
      <c r="Q167" s="12" t="inlineStr">
        <is>
          <t>evidence/UT/UT_フロントエンド_結果一覧_20261007.txt</t>
        </is>
      </c>
      <c r="R167" s="12" t="n"/>
      <c r="S167" s="12" t="n"/>
      <c r="T167" s="12" t="n"/>
    </row>
    <row r="168" ht="27" customHeight="1">
      <c r="A168" s="12" t="inlineStr">
        <is>
          <t>UT-TREE-N02</t>
        </is>
      </c>
      <c r="B168" s="12" t="inlineStr">
        <is>
          <t>コメントを返信の木構造に組み立てる処理</t>
        </is>
      </c>
      <c r="C168" s="12" t="inlineStr">
        <is>
          <t>正常系</t>
        </is>
      </c>
      <c r="D168" s="12" t="inlineStr">
        <is>
          <t>parentCommentIdで指定した親の子として組み立てる</t>
        </is>
      </c>
      <c r="E168" s="12" t="inlineStr">
        <is>
          <t>-</t>
        </is>
      </c>
      <c r="F168" s="12" t="inlineStr">
        <is>
          <t>-</t>
        </is>
      </c>
      <c r="G168" s="12" t="inlineStr">
        <is>
          <t>parentCommentIdで指定した親の子として組み立てる</t>
        </is>
      </c>
      <c r="H168" s="12" t="inlineStr">
        <is>
          <t>-</t>
        </is>
      </c>
      <c r="I168" s="12" t="inlineStr">
        <is>
          <t>-</t>
        </is>
      </c>
      <c r="J168" s="12" t="inlineStr">
        <is>
          <t>30_画面詳細設計書</t>
        </is>
      </c>
      <c r="K168" s="12" t="inlineStr">
        <is>
          <t>自動</t>
        </is>
      </c>
      <c r="L168" s="12" t="inlineStr">
        <is>
          <t>core/comment-api.spec.ts</t>
        </is>
      </c>
      <c r="M168" s="12" t="inlineStr">
        <is>
          <t>OK</t>
        </is>
      </c>
      <c r="N168" s="23" t="n">
        <v>46302</v>
      </c>
      <c r="O168" s="12" t="inlineStr">
        <is>
          <t>佐々木（Claude Code）</t>
        </is>
      </c>
      <c r="P168" s="12" t="inlineStr">
        <is>
          <t>自動テスト成功</t>
        </is>
      </c>
      <c r="Q168" s="12" t="inlineStr">
        <is>
          <t>evidence/UT/UT_フロントエンド_結果一覧_20261007.txt</t>
        </is>
      </c>
      <c r="R168" s="12" t="n"/>
      <c r="S168" s="12" t="n"/>
      <c r="T168" s="12" t="n"/>
    </row>
    <row r="169" ht="27" customHeight="1">
      <c r="A169" s="12" t="inlineStr">
        <is>
          <t>UT-TREE-N03</t>
        </is>
      </c>
      <c r="B169" s="12" t="inlineStr">
        <is>
          <t>コメントを返信の木構造に組み立てる処理</t>
        </is>
      </c>
      <c r="C169" s="12" t="inlineStr">
        <is>
          <t>正常系</t>
        </is>
      </c>
      <c r="D169" s="12" t="inlineStr">
        <is>
          <t>返信の階層数に制限が無く、何階層でも入れ子にできる</t>
        </is>
      </c>
      <c r="E169" s="12" t="inlineStr">
        <is>
          <t>-</t>
        </is>
      </c>
      <c r="F169" s="12" t="inlineStr">
        <is>
          <t>-</t>
        </is>
      </c>
      <c r="G169" s="12" t="inlineStr">
        <is>
          <t>返信の階層数に制限が無く、何階層でも入れ子にできる</t>
        </is>
      </c>
      <c r="H169" s="12" t="inlineStr">
        <is>
          <t>-</t>
        </is>
      </c>
      <c r="I169" s="12" t="inlineStr">
        <is>
          <t>-</t>
        </is>
      </c>
      <c r="J169" s="12" t="inlineStr">
        <is>
          <t>30_画面詳細設計書</t>
        </is>
      </c>
      <c r="K169" s="12" t="inlineStr">
        <is>
          <t>自動</t>
        </is>
      </c>
      <c r="L169" s="12" t="inlineStr">
        <is>
          <t>core/comment-api.spec.ts</t>
        </is>
      </c>
      <c r="M169" s="12" t="inlineStr">
        <is>
          <t>OK</t>
        </is>
      </c>
      <c r="N169" s="23" t="n">
        <v>46302</v>
      </c>
      <c r="O169" s="12" t="inlineStr">
        <is>
          <t>佐々木（Claude Code）</t>
        </is>
      </c>
      <c r="P169" s="12" t="inlineStr">
        <is>
          <t>自動テスト成功</t>
        </is>
      </c>
      <c r="Q169" s="12" t="inlineStr">
        <is>
          <t>evidence/UT/UT_フロントエンド_結果一覧_20261007.txt</t>
        </is>
      </c>
      <c r="R169" s="12" t="n"/>
      <c r="S169" s="12" t="n"/>
      <c r="T169" s="12" t="n"/>
    </row>
    <row r="170" ht="27" customHeight="1">
      <c r="A170" s="12" t="inlineStr">
        <is>
          <t>UT-TREE-N04</t>
        </is>
      </c>
      <c r="B170" s="12" t="inlineStr">
        <is>
          <t>コメントを返信の木構造に組み立てる処理</t>
        </is>
      </c>
      <c r="C170" s="12" t="inlineStr">
        <is>
          <t>正常系</t>
        </is>
      </c>
      <c r="D170" s="12" t="inlineStr">
        <is>
          <t>1つの親に複数の返信がある場合、すべて子として並ぶ</t>
        </is>
      </c>
      <c r="E170" s="12" t="inlineStr">
        <is>
          <t>-</t>
        </is>
      </c>
      <c r="F170" s="12" t="inlineStr">
        <is>
          <t>-</t>
        </is>
      </c>
      <c r="G170" s="12" t="inlineStr">
        <is>
          <t>1つの親に複数の返信がある場合、すべて子として並ぶ</t>
        </is>
      </c>
      <c r="H170" s="12" t="inlineStr">
        <is>
          <t>-</t>
        </is>
      </c>
      <c r="I170" s="12" t="inlineStr">
        <is>
          <t>-</t>
        </is>
      </c>
      <c r="J170" s="12" t="inlineStr">
        <is>
          <t>30_画面詳細設計書</t>
        </is>
      </c>
      <c r="K170" s="12" t="inlineStr">
        <is>
          <t>自動</t>
        </is>
      </c>
      <c r="L170" s="12" t="inlineStr">
        <is>
          <t>core/comment-api.spec.ts</t>
        </is>
      </c>
      <c r="M170" s="12" t="inlineStr">
        <is>
          <t>OK</t>
        </is>
      </c>
      <c r="N170" s="23" t="n">
        <v>46302</v>
      </c>
      <c r="O170" s="12" t="inlineStr">
        <is>
          <t>佐々木（Claude Code）</t>
        </is>
      </c>
      <c r="P170" s="12" t="inlineStr">
        <is>
          <t>自動テスト成功</t>
        </is>
      </c>
      <c r="Q170" s="12" t="inlineStr">
        <is>
          <t>evidence/UT/UT_フロントエンド_結果一覧_20261007.txt</t>
        </is>
      </c>
      <c r="R170" s="12" t="n"/>
      <c r="S170" s="12" t="n"/>
      <c r="T170" s="12" t="n"/>
    </row>
    <row r="171" ht="27" customHeight="1">
      <c r="A171" s="12" t="inlineStr">
        <is>
          <t>UT-TREE-N05</t>
        </is>
      </c>
      <c r="B171" s="12" t="inlineStr">
        <is>
          <t>コメントを返信の木構造に組み立てる処理</t>
        </is>
      </c>
      <c r="C171" s="12" t="inlineStr">
        <is>
          <t>正常系</t>
        </is>
      </c>
      <c r="D171" s="12" t="inlineStr">
        <is>
          <t>削除済み（deleted: true）のコメントも、返信の親としてそのままツリーに残る</t>
        </is>
      </c>
      <c r="E171" s="12" t="inlineStr">
        <is>
          <t>-</t>
        </is>
      </c>
      <c r="F171" s="12" t="inlineStr">
        <is>
          <t>-</t>
        </is>
      </c>
      <c r="G171" s="12" t="inlineStr">
        <is>
          <t>削除済み（deleted: true）のコメントも、返信の親としてそのままツリーに残る</t>
        </is>
      </c>
      <c r="H171" s="12" t="inlineStr">
        <is>
          <t>-</t>
        </is>
      </c>
      <c r="I171" s="12" t="inlineStr">
        <is>
          <t>-</t>
        </is>
      </c>
      <c r="J171" s="12" t="inlineStr">
        <is>
          <t>30_画面詳細設計書</t>
        </is>
      </c>
      <c r="K171" s="12" t="inlineStr">
        <is>
          <t>自動</t>
        </is>
      </c>
      <c r="L171" s="12" t="inlineStr">
        <is>
          <t>core/comment-api.spec.ts</t>
        </is>
      </c>
      <c r="M171" s="12" t="inlineStr">
        <is>
          <t>OK</t>
        </is>
      </c>
      <c r="N171" s="23" t="n">
        <v>46302</v>
      </c>
      <c r="O171" s="12" t="inlineStr">
        <is>
          <t>佐々木（Claude Code）</t>
        </is>
      </c>
      <c r="P171" s="12" t="inlineStr">
        <is>
          <t>自動テスト成功</t>
        </is>
      </c>
      <c r="Q171" s="12" t="inlineStr">
        <is>
          <t>evidence/UT/UT_フロントエンド_結果一覧_20261007.txt</t>
        </is>
      </c>
      <c r="R171" s="12" t="n"/>
      <c r="S171" s="12" t="n"/>
      <c r="T171" s="12" t="n"/>
    </row>
    <row r="172" ht="40.5" customHeight="1">
      <c r="A172" s="12" t="inlineStr">
        <is>
          <t>UT-AUTHG-N01</t>
        </is>
      </c>
      <c r="B172" s="12" t="inlineStr">
        <is>
          <t>未ログインでの画面遷移の制御（authGuard）</t>
        </is>
      </c>
      <c r="C172" s="12" t="inlineStr">
        <is>
          <t>正常系</t>
        </is>
      </c>
      <c r="D172" s="12" t="inlineStr">
        <is>
          <t>ログイン中は通過させる（true）</t>
        </is>
      </c>
      <c r="E172" s="12" t="inlineStr">
        <is>
          <t>-</t>
        </is>
      </c>
      <c r="F172" s="12" t="inlineStr">
        <is>
          <t>-</t>
        </is>
      </c>
      <c r="G172" s="12" t="inlineStr">
        <is>
          <t>ログイン中は通過させる（true）</t>
        </is>
      </c>
      <c r="H172" s="12" t="inlineStr">
        <is>
          <t>-</t>
        </is>
      </c>
      <c r="I172" s="12" t="inlineStr">
        <is>
          <t>-</t>
        </is>
      </c>
      <c r="J172" s="12" t="inlineStr">
        <is>
          <t>30_画面詳細設計書</t>
        </is>
      </c>
      <c r="K172" s="12" t="inlineStr">
        <is>
          <t>自動</t>
        </is>
      </c>
      <c r="L172" s="12" t="inlineStr">
        <is>
          <t>core/auth-guard.spec.ts</t>
        </is>
      </c>
      <c r="M172" s="12" t="inlineStr">
        <is>
          <t>OK</t>
        </is>
      </c>
      <c r="N172" s="23" t="n">
        <v>46302</v>
      </c>
      <c r="O172" s="12" t="inlineStr">
        <is>
          <t>佐々木（Claude Code）</t>
        </is>
      </c>
      <c r="P172" s="12" t="inlineStr">
        <is>
          <t>自動テスト成功</t>
        </is>
      </c>
      <c r="Q172" s="12" t="inlineStr">
        <is>
          <t>evidence/UT/UT_フロントエンド_結果一覧_20261007.txt</t>
        </is>
      </c>
      <c r="R172" s="12" t="n"/>
      <c r="S172" s="12" t="n"/>
      <c r="T172" s="12" t="n"/>
    </row>
    <row r="173" ht="54" customHeight="1">
      <c r="A173" s="12" t="inlineStr">
        <is>
          <t>UT-AUTHG-E01</t>
        </is>
      </c>
      <c r="B173" s="12" t="inlineStr">
        <is>
          <t>未ログインでの画面遷移の制御（authGuard）</t>
        </is>
      </c>
      <c r="C173" s="12" t="inlineStr">
        <is>
          <t>異常系</t>
        </is>
      </c>
      <c r="D173" s="12" t="inlineStr">
        <is>
          <t>未ログインの場合はログイン画面へのUrlTreeを返す</t>
        </is>
      </c>
      <c r="E173" s="12" t="inlineStr">
        <is>
          <t>-</t>
        </is>
      </c>
      <c r="F173" s="12" t="inlineStr">
        <is>
          <t>-</t>
        </is>
      </c>
      <c r="G173" s="12" t="inlineStr">
        <is>
          <t>未ログインの場合はログイン画面へのUrlTreeを返す</t>
        </is>
      </c>
      <c r="H173" s="12" t="inlineStr">
        <is>
          <t>-</t>
        </is>
      </c>
      <c r="I173" s="12" t="inlineStr">
        <is>
          <t>-</t>
        </is>
      </c>
      <c r="J173" s="12" t="inlineStr">
        <is>
          <t>30_画面詳細設計書</t>
        </is>
      </c>
      <c r="K173" s="12" t="inlineStr">
        <is>
          <t>自動</t>
        </is>
      </c>
      <c r="L173" s="12" t="inlineStr">
        <is>
          <t>core/auth-guard.spec.ts</t>
        </is>
      </c>
      <c r="M173" s="12" t="inlineStr">
        <is>
          <t>OK</t>
        </is>
      </c>
      <c r="N173" s="23" t="n">
        <v>46302</v>
      </c>
      <c r="O173" s="12" t="inlineStr">
        <is>
          <t>佐々木（Claude Code）</t>
        </is>
      </c>
      <c r="P173" s="12" t="inlineStr">
        <is>
          <t>自動テスト成功</t>
        </is>
      </c>
      <c r="Q173" s="12" t="inlineStr">
        <is>
          <t>evidence/UT/UT_フロントエンド_結果一覧_20261007.txt</t>
        </is>
      </c>
      <c r="R173" s="12" t="n"/>
      <c r="S173" s="12" t="n"/>
      <c r="T173" s="12" t="n"/>
    </row>
    <row r="174" ht="54" customHeight="1">
      <c r="A174" s="12" t="inlineStr">
        <is>
          <t>UT-ADMG-N01</t>
        </is>
      </c>
      <c r="B174" s="12" t="inlineStr">
        <is>
          <t>管理者向け画面への遷移の制御（adminGuard）</t>
        </is>
      </c>
      <c r="C174" s="12" t="inlineStr">
        <is>
          <t>正常系</t>
        </is>
      </c>
      <c r="D174" s="12" t="inlineStr">
        <is>
          <t>管理者（利用者区分コード＝管理者）は通過させる（true）</t>
        </is>
      </c>
      <c r="E174" s="12" t="inlineStr">
        <is>
          <t>-</t>
        </is>
      </c>
      <c r="F174" s="12" t="inlineStr">
        <is>
          <t>-</t>
        </is>
      </c>
      <c r="G174" s="12" t="inlineStr">
        <is>
          <t>管理者（利用者区分コード＝管理者）は通過させる（true）</t>
        </is>
      </c>
      <c r="H174" s="12" t="inlineStr">
        <is>
          <t>-</t>
        </is>
      </c>
      <c r="I174" s="12" t="inlineStr">
        <is>
          <t>-</t>
        </is>
      </c>
      <c r="J174" s="12" t="inlineStr">
        <is>
          <t>30_画面詳細設計書</t>
        </is>
      </c>
      <c r="K174" s="12" t="inlineStr">
        <is>
          <t>自動</t>
        </is>
      </c>
      <c r="L174" s="12" t="inlineStr">
        <is>
          <t>core/admin-guard.spec.ts</t>
        </is>
      </c>
      <c r="M174" s="12" t="inlineStr">
        <is>
          <t>OK</t>
        </is>
      </c>
      <c r="N174" s="23" t="n">
        <v>46302</v>
      </c>
      <c r="O174" s="12" t="inlineStr">
        <is>
          <t>佐々木（Claude Code）</t>
        </is>
      </c>
      <c r="P174" s="12" t="inlineStr">
        <is>
          <t>自動テスト成功</t>
        </is>
      </c>
      <c r="Q174" s="12" t="inlineStr">
        <is>
          <t>evidence/UT/UT_フロントエンド_結果一覧_20261007.txt</t>
        </is>
      </c>
      <c r="R174" s="12" t="n"/>
      <c r="S174" s="12" t="n"/>
      <c r="T174" s="12" t="n"/>
    </row>
    <row r="175" ht="54" customHeight="1">
      <c r="A175" s="12" t="inlineStr">
        <is>
          <t>UT-ADMG-E01</t>
        </is>
      </c>
      <c r="B175" s="12" t="inlineStr">
        <is>
          <t>管理者向け画面への遷移の制御（adminGuard）</t>
        </is>
      </c>
      <c r="C175" s="12" t="inlineStr">
        <is>
          <t>異常系</t>
        </is>
      </c>
      <c r="D175" s="12" t="inlineStr">
        <is>
          <t>一般利用者（利用者区分コード＝一般利用者）はイベント一覧へのUrlTreeを返す（利用者区分コード基準の判定）</t>
        </is>
      </c>
      <c r="E175" s="12" t="inlineStr">
        <is>
          <t>-</t>
        </is>
      </c>
      <c r="F175" s="12" t="inlineStr">
        <is>
          <t>-</t>
        </is>
      </c>
      <c r="G175" s="12" t="inlineStr">
        <is>
          <t>一般利用者（利用者区分コード＝一般利用者）はイベント一覧へのUrlTreeを返す（利用者区分コード基準の判定）</t>
        </is>
      </c>
      <c r="H175" s="12" t="inlineStr">
        <is>
          <t>-</t>
        </is>
      </c>
      <c r="I175" s="12" t="inlineStr">
        <is>
          <t>-</t>
        </is>
      </c>
      <c r="J175" s="12" t="inlineStr">
        <is>
          <t>30_画面詳細設計書</t>
        </is>
      </c>
      <c r="K175" s="12" t="inlineStr">
        <is>
          <t>自動</t>
        </is>
      </c>
      <c r="L175" s="12" t="inlineStr">
        <is>
          <t>core/admin-guard.spec.ts</t>
        </is>
      </c>
      <c r="M175" s="12" t="inlineStr">
        <is>
          <t>OK</t>
        </is>
      </c>
      <c r="N175" s="23" t="n">
        <v>46302</v>
      </c>
      <c r="O175" s="12" t="inlineStr">
        <is>
          <t>佐々木（Claude Code）</t>
        </is>
      </c>
      <c r="P175" s="12" t="inlineStr">
        <is>
          <t>自動テスト成功</t>
        </is>
      </c>
      <c r="Q175" s="12" t="inlineStr">
        <is>
          <t>evidence/UT/UT_フロントエンド_結果一覧_20261007.txt</t>
        </is>
      </c>
      <c r="R175" s="12" t="n"/>
      <c r="S175" s="12" t="n"/>
      <c r="T175" s="12" t="n"/>
    </row>
    <row r="176" ht="54" customHeight="1">
      <c r="A176" s="12" t="inlineStr">
        <is>
          <t>UT-HTTP-E01</t>
        </is>
      </c>
      <c r="B176" s="12" t="inlineStr">
        <is>
          <t>API呼び出しのエラーの共通処理（httpErrorInterceptor）</t>
        </is>
      </c>
      <c r="C176" s="12" t="inlineStr">
        <is>
          <t>異常系</t>
        </is>
      </c>
      <c r="D176" s="12" t="inlineStr">
        <is>
          <t>401を受け取るとログイン状態を解除してログイン画面へ遷移し、エラーは呼び出し元にも伝える</t>
        </is>
      </c>
      <c r="E176" s="12" t="inlineStr">
        <is>
          <t>-</t>
        </is>
      </c>
      <c r="F176" s="12" t="inlineStr">
        <is>
          <t>-</t>
        </is>
      </c>
      <c r="G176" s="12" t="inlineStr">
        <is>
          <t>401を受け取るとログイン状態を解除してログイン画面へ遷移し、エラーは呼び出し元にも伝える</t>
        </is>
      </c>
      <c r="H176" s="12" t="inlineStr">
        <is>
          <t>-</t>
        </is>
      </c>
      <c r="I176" s="12" t="inlineStr">
        <is>
          <t>-</t>
        </is>
      </c>
      <c r="J176" s="12" t="inlineStr">
        <is>
          <t>30_画面詳細設計書</t>
        </is>
      </c>
      <c r="K176" s="12" t="inlineStr">
        <is>
          <t>自動</t>
        </is>
      </c>
      <c r="L176" s="12" t="inlineStr">
        <is>
          <t>core/http-error-interceptor.spec.ts</t>
        </is>
      </c>
      <c r="M176" s="12" t="inlineStr">
        <is>
          <t>OK</t>
        </is>
      </c>
      <c r="N176" s="23" t="n">
        <v>46302</v>
      </c>
      <c r="O176" s="12" t="inlineStr">
        <is>
          <t>佐々木（Claude Code）</t>
        </is>
      </c>
      <c r="P176" s="12" t="inlineStr">
        <is>
          <t>自動テスト成功</t>
        </is>
      </c>
      <c r="Q176" s="12" t="inlineStr">
        <is>
          <t>evidence/UT/UT_フロントエンド_結果一覧_20261007.txt</t>
        </is>
      </c>
      <c r="R176" s="12" t="n"/>
      <c r="S176" s="12" t="n"/>
      <c r="T176" s="12" t="n"/>
    </row>
    <row r="177" ht="40.5" customHeight="1">
      <c r="A177" s="12" t="inlineStr">
        <is>
          <t>UT-HTTP-E02</t>
        </is>
      </c>
      <c r="B177" s="12" t="inlineStr">
        <is>
          <t>API呼び出しのエラーの共通処理（httpErrorInterceptor）</t>
        </is>
      </c>
      <c r="C177" s="12" t="inlineStr">
        <is>
          <t>異常系</t>
        </is>
      </c>
      <c r="D177" s="12" t="inlineStr">
        <is>
          <t>ログインAPIの401（メールアドレス・パスワードの誤り）ではログイン状態を変えず遷移もしない</t>
        </is>
      </c>
      <c r="E177" s="12" t="inlineStr">
        <is>
          <t>-</t>
        </is>
      </c>
      <c r="F177" s="12" t="inlineStr">
        <is>
          <t>-</t>
        </is>
      </c>
      <c r="G177" s="12" t="inlineStr">
        <is>
          <t>ログインAPIの401（メールアドレス・パスワードの誤り）ではログイン状態を変えず遷移もしない</t>
        </is>
      </c>
      <c r="H177" s="12" t="inlineStr">
        <is>
          <t>-</t>
        </is>
      </c>
      <c r="I177" s="12" t="inlineStr">
        <is>
          <t>-</t>
        </is>
      </c>
      <c r="J177" s="12" t="inlineStr">
        <is>
          <t>30_画面詳細設計書</t>
        </is>
      </c>
      <c r="K177" s="12" t="inlineStr">
        <is>
          <t>自動</t>
        </is>
      </c>
      <c r="L177" s="12" t="inlineStr">
        <is>
          <t>core/http-error-interceptor.spec.ts</t>
        </is>
      </c>
      <c r="M177" s="12" t="inlineStr">
        <is>
          <t>OK</t>
        </is>
      </c>
      <c r="N177" s="23" t="n">
        <v>46302</v>
      </c>
      <c r="O177" s="12" t="inlineStr">
        <is>
          <t>佐々木（Claude Code）</t>
        </is>
      </c>
      <c r="P177" s="12" t="inlineStr">
        <is>
          <t>自動テスト成功</t>
        </is>
      </c>
      <c r="Q177" s="12" t="inlineStr">
        <is>
          <t>evidence/UT/UT_フロントエンド_結果一覧_20261007.txt</t>
        </is>
      </c>
      <c r="R177" s="12" t="n"/>
      <c r="S177" s="12" t="n"/>
      <c r="T177" s="12" t="n"/>
    </row>
    <row r="178" ht="67.5" customHeight="1">
      <c r="A178" s="12" t="inlineStr">
        <is>
          <t>UT-HTTP-E03</t>
        </is>
      </c>
      <c r="B178" s="12" t="inlineStr">
        <is>
          <t>API呼び出しのエラーの共通処理（httpErrorInterceptor）</t>
        </is>
      </c>
      <c r="C178" s="12" t="inlineStr">
        <is>
          <t>異常系</t>
        </is>
      </c>
      <c r="D178" s="12" t="inlineStr">
        <is>
          <t>403（権限エラー）ではログイン状態を変えず遷移もしない</t>
        </is>
      </c>
      <c r="E178" s="12" t="inlineStr">
        <is>
          <t>-</t>
        </is>
      </c>
      <c r="F178" s="12" t="inlineStr">
        <is>
          <t>-</t>
        </is>
      </c>
      <c r="G178" s="12" t="inlineStr">
        <is>
          <t>403（権限エラー）ではログイン状態を変えず遷移もしない</t>
        </is>
      </c>
      <c r="H178" s="12" t="inlineStr">
        <is>
          <t>-</t>
        </is>
      </c>
      <c r="I178" s="12" t="inlineStr">
        <is>
          <t>-</t>
        </is>
      </c>
      <c r="J178" s="12" t="inlineStr">
        <is>
          <t>30_画面詳細設計書</t>
        </is>
      </c>
      <c r="K178" s="12" t="inlineStr">
        <is>
          <t>自動</t>
        </is>
      </c>
      <c r="L178" s="12" t="inlineStr">
        <is>
          <t>core/http-error-interceptor.spec.ts</t>
        </is>
      </c>
      <c r="M178" s="12" t="inlineStr">
        <is>
          <t>OK</t>
        </is>
      </c>
      <c r="N178" s="23" t="n">
        <v>46302</v>
      </c>
      <c r="O178" s="12" t="inlineStr">
        <is>
          <t>佐々木（Claude Code）</t>
        </is>
      </c>
      <c r="P178" s="12" t="inlineStr">
        <is>
          <t>自動テスト成功</t>
        </is>
      </c>
      <c r="Q178" s="12" t="inlineStr">
        <is>
          <t>evidence/UT/UT_フロントエンド_結果一覧_20261007.txt</t>
        </is>
      </c>
      <c r="R178" s="12" t="n"/>
      <c r="S178" s="12" t="n"/>
      <c r="T178" s="12" t="n"/>
    </row>
    <row r="179" ht="67.5" customHeight="1">
      <c r="A179" s="12" t="inlineStr">
        <is>
          <t>UT-HTTP-E04</t>
        </is>
      </c>
      <c r="B179" s="12" t="inlineStr">
        <is>
          <t>API呼び出しのエラーの共通処理（httpErrorInterceptor）</t>
        </is>
      </c>
      <c r="C179" s="12" t="inlineStr">
        <is>
          <t>異常系</t>
        </is>
      </c>
      <c r="D179" s="12" t="inlineStr">
        <is>
          <t>サーバーに接続できない場合（status 0）は共通のメッセージに置き換える</t>
        </is>
      </c>
      <c r="E179" s="12" t="inlineStr">
        <is>
          <t>-</t>
        </is>
      </c>
      <c r="F179" s="12" t="inlineStr">
        <is>
          <t>-</t>
        </is>
      </c>
      <c r="G179" s="12" t="inlineStr">
        <is>
          <t>サーバーに接続できない場合（status 0）は共通のメッセージに置き換える</t>
        </is>
      </c>
      <c r="H179" s="12" t="inlineStr">
        <is>
          <t>-</t>
        </is>
      </c>
      <c r="I179" s="12" t="inlineStr">
        <is>
          <t>-</t>
        </is>
      </c>
      <c r="J179" s="12" t="inlineStr">
        <is>
          <t>30_画面詳細設計書</t>
        </is>
      </c>
      <c r="K179" s="12" t="inlineStr">
        <is>
          <t>自動</t>
        </is>
      </c>
      <c r="L179" s="12" t="inlineStr">
        <is>
          <t>core/http-error-interceptor.spec.ts</t>
        </is>
      </c>
      <c r="M179" s="12" t="inlineStr">
        <is>
          <t>OK</t>
        </is>
      </c>
      <c r="N179" s="23" t="n">
        <v>46302</v>
      </c>
      <c r="O179" s="12" t="inlineStr">
        <is>
          <t>佐々木（Claude Code）</t>
        </is>
      </c>
      <c r="P179" s="12" t="inlineStr">
        <is>
          <t>自動テスト成功</t>
        </is>
      </c>
      <c r="Q179" s="12" t="inlineStr">
        <is>
          <t>evidence/UT/UT_フロントエンド_結果一覧_20261007.txt</t>
        </is>
      </c>
      <c r="R179" s="12" t="n"/>
      <c r="S179" s="12" t="n"/>
      <c r="T179" s="12" t="n"/>
    </row>
    <row r="180" ht="67.5" customHeight="1">
      <c r="A180" s="12" t="inlineStr">
        <is>
          <t>UT-APP-E15</t>
        </is>
      </c>
      <c r="B180" s="12" t="inlineStr">
        <is>
          <t>ApplicationService（申込・キャンセル・当日受付）</t>
        </is>
      </c>
      <c r="C180" s="12" t="inlineStr">
        <is>
          <t>異常系</t>
        </is>
      </c>
      <c r="D180" s="12" t="inlineStr">
        <is>
          <t>区分の無いイベントに区分を指定すると指定された区分が見つかりませんで拒否される</t>
        </is>
      </c>
      <c r="E180" s="12" t="inlineStr">
        <is>
          <t>区分なしイベントでticketTypeIdを指定</t>
        </is>
      </c>
      <c r="F180" s="12" t="inlineStr">
        <is>
          <t>apply</t>
        </is>
      </c>
      <c r="G180" s="12" t="inlineStr">
        <is>
          <t>NotFoundException「指定された区分が見つかりません」（E-B-005）</t>
        </is>
      </c>
      <c r="H180" s="12" t="inlineStr">
        <is>
          <t>-</t>
        </is>
      </c>
      <c r="I180" s="12" t="inlineStr">
        <is>
          <t>-</t>
        </is>
      </c>
      <c r="J180" s="12" t="inlineStr">
        <is>
          <t>32_処理詳細設計書 4章 AP-030 No.7</t>
        </is>
      </c>
      <c r="K180" s="12" t="inlineStr">
        <is>
          <t>自動</t>
        </is>
      </c>
      <c r="L180" s="12" t="inlineStr">
        <is>
          <t>apply_異常系_区分の無いイベントに区分を指定すると指定された区分が見つかりませんで拒否される</t>
        </is>
      </c>
      <c r="M180" s="12" t="inlineStr">
        <is>
          <t>OK</t>
        </is>
      </c>
      <c r="N180" s="23" t="n">
        <v>46304</v>
      </c>
      <c r="O180" s="12" t="inlineStr">
        <is>
          <t>佐々木（Claude Code）</t>
        </is>
      </c>
      <c r="P180" s="12" t="inlineStr">
        <is>
          <t>自動テスト成功（Issue #18 の修正で追加）</t>
        </is>
      </c>
      <c r="Q180" s="12" t="inlineStr">
        <is>
          <t>evidence/UT/UT_バックエンド_結果一覧_20261009.txt</t>
        </is>
      </c>
      <c r="R180" s="12" t="n"/>
      <c r="S180" s="12" t="n"/>
      <c r="T180" s="12" t="n"/>
    </row>
  </sheetData>
  <autoFilter ref="A1:T180"/>
  <conditionalFormatting sqref="M2:M180">
    <cfRule type="cellIs" priority="1" operator="equal" dxfId="3">
      <formula>"OK"</formula>
    </cfRule>
    <cfRule type="cellIs" priority="2" operator="equal" dxfId="2">
      <formula>"NG"</formula>
    </cfRule>
    <cfRule type="cellIs" priority="3" operator="equal" dxfId="1">
      <formula>"保留"</formula>
    </cfRule>
    <cfRule type="cellIs" priority="4" operator="equal" dxfId="0">
      <formula>"対象外"</formula>
    </cfRule>
  </conditionalFormatting>
  <conditionalFormatting sqref="S2:S180">
    <cfRule type="cellIs" priority="5" operator="equal" dxfId="3">
      <formula>"OK"</formula>
    </cfRule>
    <cfRule type="cellIs" priority="6" operator="equal" dxfId="2">
      <formula>"NG"</formula>
    </cfRule>
    <cfRule type="cellIs" priority="7" operator="equal" dxfId="1">
      <formula>"保留"</formula>
    </cfRule>
    <cfRule type="cellIs" priority="8" operator="equal" dxfId="0">
      <formula>"対象外"</formula>
    </cfRule>
  </conditionalFormatting>
  <dataValidations count="2">
    <dataValidation sqref="M2:M180" showDropDown="0" showInputMessage="0" showErrorMessage="0" allowBlank="1" type="list">
      <formula1>"OK,NG,保留,対象外"</formula1>
    </dataValidation>
    <dataValidation sqref="S2:S180" showDropDown="0" showInputMessage="0" showErrorMessage="0" allowBlank="1" type="list">
      <formula1>"OK,NG"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2"/>
  <sheetViews>
    <sheetView workbookViewId="0">
      <pane xSplit="3" ySplit="1" topLeftCell="P71" activePane="bottomRight" state="frozen"/>
      <selection pane="topRight" activeCell="A1" sqref="A1"/>
      <selection pane="bottomLeft" activeCell="A1" sqref="A1"/>
      <selection pane="bottomRight" activeCell="O2" sqref="O2"/>
    </sheetView>
  </sheetViews>
  <sheetFormatPr baseColWidth="8" defaultRowHeight="13"/>
  <cols>
    <col width="14" customWidth="1" min="1" max="1"/>
    <col width="22" customWidth="1" min="2" max="2"/>
    <col width="8" customWidth="1" min="3" max="3"/>
    <col width="34" customWidth="1" min="4" max="4"/>
    <col width="26" customWidth="1" min="5" max="5"/>
    <col width="36" customWidth="1" min="6" max="6"/>
    <col width="40" customWidth="1" min="7" max="7"/>
    <col width="36" customWidth="1" min="8" max="8"/>
    <col width="52" customWidth="1" min="9" max="9"/>
    <col width="20" customWidth="1" min="10" max="10"/>
    <col width="9" customWidth="1" min="11" max="11"/>
    <col width="30" customWidth="1" min="12" max="12"/>
    <col width="7" customWidth="1" min="13" max="13"/>
    <col width="11" customWidth="1" min="14" max="14"/>
    <col width="14" customWidth="1" min="15" max="15"/>
    <col width="30" customWidth="1" min="16" max="17"/>
    <col width="10" customWidth="1" min="18" max="18"/>
    <col width="13" customWidth="1" min="19" max="19"/>
    <col width="11" customWidth="1" min="20" max="20"/>
  </cols>
  <sheetData>
    <row r="1" ht="27" customHeight="1">
      <c r="A1" s="10" t="inlineStr">
        <is>
          <t>ID</t>
        </is>
      </c>
      <c r="B1" s="10" t="inlineStr">
        <is>
          <t>対象</t>
        </is>
      </c>
      <c r="C1" s="10" t="inlineStr">
        <is>
          <t>区分</t>
        </is>
      </c>
      <c r="D1" s="10" t="inlineStr">
        <is>
          <t>確認する内容</t>
        </is>
      </c>
      <c r="E1" s="10" t="inlineStr">
        <is>
          <t>前提</t>
        </is>
      </c>
      <c r="F1" s="10" t="inlineStr">
        <is>
          <t>操作・入力</t>
        </is>
      </c>
      <c r="G1" s="10" t="inlineStr">
        <is>
          <t>期待結果</t>
        </is>
      </c>
      <c r="H1" s="10" t="inlineStr">
        <is>
          <t>期待結果（データベース）</t>
        </is>
      </c>
      <c r="I1" s="10" t="inlineStr">
        <is>
          <t>確認SQL</t>
        </is>
      </c>
      <c r="J1" s="10" t="inlineStr">
        <is>
          <t>根拠</t>
        </is>
      </c>
      <c r="K1" s="10" t="inlineStr">
        <is>
          <t>実施方法</t>
        </is>
      </c>
      <c r="L1" s="10" t="inlineStr">
        <is>
          <t>自動テスト</t>
        </is>
      </c>
      <c r="M1" s="11" t="inlineStr">
        <is>
          <t>結果</t>
        </is>
      </c>
      <c r="N1" s="11" t="inlineStr">
        <is>
          <t>実施日</t>
        </is>
      </c>
      <c r="O1" s="11" t="inlineStr">
        <is>
          <t>実施者</t>
        </is>
      </c>
      <c r="P1" s="11" t="inlineStr">
        <is>
          <t>実際の結果・備考</t>
        </is>
      </c>
      <c r="Q1" s="11" t="inlineStr">
        <is>
          <t>証跡</t>
        </is>
      </c>
      <c r="R1" s="11" t="inlineStr">
        <is>
          <t>不具合Issue</t>
        </is>
      </c>
      <c r="S1" s="11" t="inlineStr">
        <is>
          <t>再テスト結果</t>
        </is>
      </c>
      <c r="T1" s="11" t="inlineStr">
        <is>
          <t>再テスト日</t>
        </is>
      </c>
    </row>
    <row r="2" ht="27" customHeight="1">
      <c r="A2" s="12" t="inlineStr">
        <is>
          <t>IT-CMN-N01</t>
        </is>
      </c>
      <c r="B2" s="12" t="inlineStr">
        <is>
          <t>認証・リクエスト形式</t>
        </is>
      </c>
      <c r="C2" s="12" t="inlineStr">
        <is>
          <t>正常系</t>
        </is>
      </c>
      <c r="D2" s="12" t="inlineStr">
        <is>
          <t>ログインは認証情報なしで呼べる</t>
        </is>
      </c>
      <c r="E2" s="12" t="inlineStr">
        <is>
          <t>-</t>
        </is>
      </c>
      <c r="F2" s="12" t="inlineStr">
        <is>
          <t>X-User-IdなしでPOST /api/login（正しいメールアドレスとパスワード）</t>
        </is>
      </c>
      <c r="G2" s="12" t="inlineStr">
        <is>
          <t>200（401にならない）</t>
        </is>
      </c>
      <c r="H2" s="12" t="inlineStr">
        <is>
          <t>-（参照のみ）</t>
        </is>
      </c>
      <c r="I2" s="12" t="inlineStr">
        <is>
          <t>-</t>
        </is>
      </c>
      <c r="J2" s="12" t="inlineStr">
        <is>
          <t>23_API基本設計書 2.1</t>
        </is>
      </c>
      <c r="K2" s="12" t="inlineStr">
        <is>
          <t>手動</t>
        </is>
      </c>
      <c r="L2" s="12" t="n"/>
      <c r="M2" s="12" t="inlineStr">
        <is>
          <t>OK</t>
        </is>
      </c>
      <c r="N2" s="23" t="n">
        <v>46303</v>
      </c>
      <c r="O2" s="12" t="inlineStr">
        <is>
          <t>佐々木</t>
        </is>
      </c>
      <c r="P2" s="12" t="n"/>
      <c r="Q2" s="15" t="inlineStr">
        <is>
          <t>45_テストエビデンス_API結合.xlsx／共通</t>
        </is>
      </c>
      <c r="R2" s="12" t="n"/>
      <c r="S2" s="12" t="n"/>
      <c r="T2" s="12" t="n"/>
    </row>
    <row r="3" ht="13.5" customHeight="1">
      <c r="A3" s="12" t="inlineStr">
        <is>
          <t>IT-CMN-N02</t>
        </is>
      </c>
      <c r="B3" s="12" t="inlineStr">
        <is>
          <t>認証・リクエスト形式</t>
        </is>
      </c>
      <c r="C3" s="12" t="inlineStr">
        <is>
          <t>正常系</t>
        </is>
      </c>
      <c r="D3" s="12" t="inlineStr">
        <is>
          <t>利用者登録は認証情報なしで呼べる</t>
        </is>
      </c>
      <c r="E3" s="12" t="inlineStr">
        <is>
          <t>未登録のメールアドレス</t>
        </is>
      </c>
      <c r="F3" s="12" t="inlineStr">
        <is>
          <t>X-User-IdなしでPOST /api/users</t>
        </is>
      </c>
      <c r="G3" s="12" t="inlineStr">
        <is>
          <t>201（401にならない）</t>
        </is>
      </c>
      <c r="H3" s="12" t="inlineStr">
        <is>
          <t>usersに1行追加される</t>
        </is>
      </c>
      <c r="I3" s="12" t="inlineStr">
        <is>
          <t>【操作の前と後に実行し、期待結果のとおりであることを確認する】
SELECT id, name, email, role_code, password_hash, anonymized_at, updated_at FROM users ORDER BY id;</t>
        </is>
      </c>
      <c r="J3" s="12" t="inlineStr">
        <is>
          <t>23_API基本設計書 2.1</t>
        </is>
      </c>
      <c r="K3" s="12" t="inlineStr">
        <is>
          <t>手動</t>
        </is>
      </c>
      <c r="L3" s="12" t="n"/>
      <c r="M3" s="12" t="inlineStr">
        <is>
          <t>OK</t>
        </is>
      </c>
      <c r="N3" s="23" t="n">
        <v>46303</v>
      </c>
      <c r="O3" s="12" t="inlineStr">
        <is>
          <t>佐々木</t>
        </is>
      </c>
      <c r="P3" s="12" t="n"/>
      <c r="Q3" s="15" t="inlineStr">
        <is>
          <t>45_テストエビデンス_API結合.xlsx／共通</t>
        </is>
      </c>
      <c r="R3" s="12" t="n"/>
      <c r="S3" s="12" t="n"/>
      <c r="T3" s="12" t="n"/>
    </row>
    <row r="4" ht="13.5" customHeight="1">
      <c r="A4" s="12" t="inlineStr">
        <is>
          <t>IT-CMN-N03</t>
        </is>
      </c>
      <c r="B4" s="12" t="inlineStr">
        <is>
          <t>認証・リクエスト形式</t>
        </is>
      </c>
      <c r="C4" s="12" t="inlineStr">
        <is>
          <t>正常系</t>
        </is>
      </c>
      <c r="D4" s="12" t="inlineStr">
        <is>
          <t>稼働確認は認証情報なしで呼べる</t>
        </is>
      </c>
      <c r="E4" s="12" t="inlineStr">
        <is>
          <t>-</t>
        </is>
      </c>
      <c r="F4" s="12" t="inlineStr">
        <is>
          <t>X-User-IdなしでGET /api/ping</t>
        </is>
      </c>
      <c r="G4" s="12" t="inlineStr">
        <is>
          <t>200（401にならない）</t>
        </is>
      </c>
      <c r="H4" s="12" t="inlineStr">
        <is>
          <t>-（参照のみ）</t>
        </is>
      </c>
      <c r="I4" s="12" t="inlineStr">
        <is>
          <t>-</t>
        </is>
      </c>
      <c r="J4" s="12" t="inlineStr">
        <is>
          <t>23_API基本設計書 2.1</t>
        </is>
      </c>
      <c r="K4" s="12" t="inlineStr">
        <is>
          <t>手動</t>
        </is>
      </c>
      <c r="L4" s="12" t="n"/>
      <c r="M4" s="12" t="inlineStr">
        <is>
          <t>OK</t>
        </is>
      </c>
      <c r="N4" s="23" t="n">
        <v>46303</v>
      </c>
      <c r="O4" s="12" t="inlineStr">
        <is>
          <t>佐々木</t>
        </is>
      </c>
      <c r="P4" s="12" t="n"/>
      <c r="Q4" s="15" t="inlineStr">
        <is>
          <t>45_テストエビデンス_API結合.xlsx／共通</t>
        </is>
      </c>
      <c r="R4" s="12" t="n"/>
      <c r="S4" s="12" t="n"/>
      <c r="T4" s="12" t="n"/>
    </row>
    <row r="5" ht="27" customHeight="1">
      <c r="A5" s="12" t="inlineStr">
        <is>
          <t>IT-CMN-N04</t>
        </is>
      </c>
      <c r="B5" s="12" t="inlineStr">
        <is>
          <t>認証・リクエスト形式</t>
        </is>
      </c>
      <c r="C5" s="12" t="inlineStr">
        <is>
          <t>正常系</t>
        </is>
      </c>
      <c r="D5" s="12" t="inlineStr">
        <is>
          <t>Swagger UIは認証の対象外である</t>
        </is>
      </c>
      <c r="E5" s="12" t="inlineStr">
        <is>
          <t>-</t>
        </is>
      </c>
      <c r="F5" s="12" t="inlineStr">
        <is>
          <t>X-User-IdなしでGET /swagger-ui.html</t>
        </is>
      </c>
      <c r="G5" s="12" t="inlineStr">
        <is>
          <t>302で/swagger-ui/index.htmlへ転送され、転送先が200（401にならない）</t>
        </is>
      </c>
      <c r="H5" s="12" t="inlineStr">
        <is>
          <t>-（参照のみ）</t>
        </is>
      </c>
      <c r="I5" s="12" t="inlineStr">
        <is>
          <t>-</t>
        </is>
      </c>
      <c r="J5" s="12" t="inlineStr">
        <is>
          <t>33_共通詳細設計書 5.1</t>
        </is>
      </c>
      <c r="K5" s="12" t="inlineStr">
        <is>
          <t>手動</t>
        </is>
      </c>
      <c r="L5" s="12" t="n"/>
      <c r="M5" s="12" t="inlineStr">
        <is>
          <t>OK</t>
        </is>
      </c>
      <c r="N5" s="23" t="n">
        <v>46303</v>
      </c>
      <c r="O5" s="12" t="inlineStr">
        <is>
          <t>佐々木</t>
        </is>
      </c>
      <c r="P5" s="12" t="n"/>
      <c r="Q5" s="15" t="inlineStr">
        <is>
          <t>45_テストエビデンス_API結合.xlsx／共通</t>
        </is>
      </c>
      <c r="R5" s="12" t="n"/>
      <c r="S5" s="12" t="n"/>
      <c r="T5" s="12" t="n"/>
    </row>
    <row r="6" ht="27" customHeight="1">
      <c r="A6" s="12" t="inlineStr">
        <is>
          <t>IT-CMN-N05</t>
        </is>
      </c>
      <c r="B6" s="12" t="inlineStr">
        <is>
          <t>認証・リクエスト形式</t>
        </is>
      </c>
      <c r="C6" s="12" t="inlineStr">
        <is>
          <t>正常系</t>
        </is>
      </c>
      <c r="D6" s="12" t="inlineStr">
        <is>
          <t>OpenAPIの定義は認証の対象外である</t>
        </is>
      </c>
      <c r="E6" s="12" t="inlineStr">
        <is>
          <t>-</t>
        </is>
      </c>
      <c r="F6" s="12" t="inlineStr">
        <is>
          <t>X-User-IdなしでGET /v3/api-docs</t>
        </is>
      </c>
      <c r="G6" s="12" t="inlineStr">
        <is>
          <t>200</t>
        </is>
      </c>
      <c r="H6" s="12" t="inlineStr">
        <is>
          <t>-（参照のみ）</t>
        </is>
      </c>
      <c r="I6" s="12" t="inlineStr">
        <is>
          <t>-</t>
        </is>
      </c>
      <c r="J6" s="12" t="inlineStr">
        <is>
          <t>33_共通詳細設計書 5.1</t>
        </is>
      </c>
      <c r="K6" s="12" t="inlineStr">
        <is>
          <t>手動</t>
        </is>
      </c>
      <c r="L6" s="12" t="n"/>
      <c r="M6" s="12" t="inlineStr">
        <is>
          <t>OK</t>
        </is>
      </c>
      <c r="N6" s="23" t="n">
        <v>46303</v>
      </c>
      <c r="O6" s="12" t="inlineStr">
        <is>
          <t>佐々木</t>
        </is>
      </c>
      <c r="P6" s="12" t="n"/>
      <c r="Q6" s="15" t="inlineStr">
        <is>
          <t>45_テストエビデンス_API結合.xlsx／共通</t>
        </is>
      </c>
      <c r="R6" s="12" t="n"/>
      <c r="S6" s="12" t="n"/>
      <c r="T6" s="12" t="n"/>
    </row>
    <row r="7" ht="27" customHeight="1">
      <c r="A7" s="12" t="inlineStr">
        <is>
          <t>IT-CMN-N06</t>
        </is>
      </c>
      <c r="B7" s="12" t="inlineStr">
        <is>
          <t>認証・リクエスト形式</t>
        </is>
      </c>
      <c r="C7" s="12" t="inlineStr">
        <is>
          <t>正常系</t>
        </is>
      </c>
      <c r="D7" s="12" t="inlineStr">
        <is>
          <t>リクエストに定義されていない項目は無視される</t>
        </is>
      </c>
      <c r="E7" s="12" t="inlineStr">
        <is>
          <t>未登録のメールアドレス</t>
        </is>
      </c>
      <c r="F7" s="12" t="inlineStr">
        <is>
          <t>POST /api/usersの本文に"roleCode": 2を加えて送る</t>
        </is>
      </c>
      <c r="G7" s="12" t="inlineStr">
        <is>
          <t>201、roleCodeが1（一般利用者）</t>
        </is>
      </c>
      <c r="H7" s="12" t="inlineStr">
        <is>
          <t>登録された行のusers.role_codeが1</t>
        </is>
      </c>
      <c r="I7" s="12" t="inlineStr">
        <is>
          <t>【操作の前と後に実行し、期待結果のとおりであることを確認する】
SELECT id, name, email, role_code, password_hash, anonymized_at, updated_at FROM users ORDER BY id;</t>
        </is>
      </c>
      <c r="J7" s="12" t="inlineStr">
        <is>
          <t>23_API基本設計書 2.6</t>
        </is>
      </c>
      <c r="K7" s="12" t="inlineStr">
        <is>
          <t>手動</t>
        </is>
      </c>
      <c r="L7" s="12" t="n"/>
      <c r="M7" s="12" t="inlineStr">
        <is>
          <t>OK</t>
        </is>
      </c>
      <c r="N7" s="23" t="n">
        <v>46303</v>
      </c>
      <c r="O7" s="12" t="inlineStr">
        <is>
          <t>佐々木</t>
        </is>
      </c>
      <c r="P7" s="12" t="n"/>
      <c r="Q7" s="15" t="inlineStr">
        <is>
          <t>45_テストエビデンス_API結合.xlsx／共通</t>
        </is>
      </c>
      <c r="R7" s="12" t="n"/>
      <c r="S7" s="12" t="n"/>
      <c r="T7" s="12" t="n"/>
    </row>
    <row r="8" ht="27" customHeight="1">
      <c r="A8" s="12" t="inlineStr">
        <is>
          <t>IT-CMN-E01</t>
        </is>
      </c>
      <c r="B8" s="12" t="inlineStr">
        <is>
          <t>認証・リクエスト形式</t>
        </is>
      </c>
      <c r="C8" s="12" t="inlineStr">
        <is>
          <t>異常系</t>
        </is>
      </c>
      <c r="D8" s="12" t="inlineStr">
        <is>
          <t>認証情報が無いと認証エラーになる</t>
        </is>
      </c>
      <c r="E8" s="12" t="inlineStr">
        <is>
          <t>-</t>
        </is>
      </c>
      <c r="F8" s="12" t="inlineStr">
        <is>
          <t>X-User-IdなしでGET /api/events</t>
        </is>
      </c>
      <c r="G8" s="12" t="inlineStr">
        <is>
          <t>401「認証が必要です」（E-A-001）</t>
        </is>
      </c>
      <c r="H8" s="12" t="inlineStr">
        <is>
          <t>-（参照のみ）</t>
        </is>
      </c>
      <c r="I8" s="12" t="inlineStr">
        <is>
          <t>-</t>
        </is>
      </c>
      <c r="J8" s="12" t="inlineStr">
        <is>
          <t>33_共通詳細設計書 5.2</t>
        </is>
      </c>
      <c r="K8" s="12" t="inlineStr">
        <is>
          <t>手動</t>
        </is>
      </c>
      <c r="L8" s="12" t="n"/>
      <c r="M8" s="12" t="inlineStr">
        <is>
          <t>OK</t>
        </is>
      </c>
      <c r="N8" s="23" t="n">
        <v>46303</v>
      </c>
      <c r="O8" s="12" t="inlineStr">
        <is>
          <t>佐々木</t>
        </is>
      </c>
      <c r="P8" s="12" t="n"/>
      <c r="Q8" s="15" t="inlineStr">
        <is>
          <t>45_テストエビデンス_API結合.xlsx／共通</t>
        </is>
      </c>
      <c r="R8" s="12" t="n"/>
      <c r="S8" s="12" t="n"/>
      <c r="T8" s="12" t="n"/>
    </row>
    <row r="9" ht="27" customHeight="1">
      <c r="A9" s="12" t="inlineStr">
        <is>
          <t>IT-CMN-E02</t>
        </is>
      </c>
      <c r="B9" s="12" t="inlineStr">
        <is>
          <t>認証・リクエスト形式</t>
        </is>
      </c>
      <c r="C9" s="12" t="inlineStr">
        <is>
          <t>異常系</t>
        </is>
      </c>
      <c r="D9" s="12" t="inlineStr">
        <is>
          <t>利用者IDが数値でないと認証エラーになる</t>
        </is>
      </c>
      <c r="E9" s="12" t="inlineStr">
        <is>
          <t>-</t>
        </is>
      </c>
      <c r="F9" s="12" t="inlineStr">
        <is>
          <t>X-User-Id: abcでGET /api/events</t>
        </is>
      </c>
      <c r="G9" s="12" t="inlineStr">
        <is>
          <t>401「認証が必要です」（E-A-001）</t>
        </is>
      </c>
      <c r="H9" s="12" t="inlineStr">
        <is>
          <t>-（参照のみ）</t>
        </is>
      </c>
      <c r="I9" s="12" t="inlineStr">
        <is>
          <t>-</t>
        </is>
      </c>
      <c r="J9" s="12" t="inlineStr">
        <is>
          <t>33_共通詳細設計書 5.2</t>
        </is>
      </c>
      <c r="K9" s="12" t="inlineStr">
        <is>
          <t>手動</t>
        </is>
      </c>
      <c r="L9" s="12" t="n"/>
      <c r="M9" s="12" t="inlineStr">
        <is>
          <t>OK</t>
        </is>
      </c>
      <c r="N9" s="23" t="n">
        <v>46303</v>
      </c>
      <c r="O9" s="12" t="inlineStr">
        <is>
          <t>佐々木</t>
        </is>
      </c>
      <c r="P9" s="12" t="n"/>
      <c r="Q9" s="15" t="inlineStr">
        <is>
          <t>45_テストエビデンス_API結合.xlsx／共通</t>
        </is>
      </c>
      <c r="R9" s="12" t="n"/>
      <c r="S9" s="12" t="n"/>
      <c r="T9" s="12" t="n"/>
    </row>
    <row r="10" ht="27" customHeight="1">
      <c r="A10" s="12" t="inlineStr">
        <is>
          <t>IT-CMN-E03</t>
        </is>
      </c>
      <c r="B10" s="12" t="inlineStr">
        <is>
          <t>認証・リクエスト形式</t>
        </is>
      </c>
      <c r="C10" s="12" t="inlineStr">
        <is>
          <t>異常系</t>
        </is>
      </c>
      <c r="D10" s="12" t="inlineStr">
        <is>
          <t>存在しない利用者IDは認証エラーになる</t>
        </is>
      </c>
      <c r="E10" s="12" t="inlineStr">
        <is>
          <t>-</t>
        </is>
      </c>
      <c r="F10" s="12" t="inlineStr">
        <is>
          <t>X-User-Id: 9999でGET /api/events</t>
        </is>
      </c>
      <c r="G10" s="12" t="inlineStr">
        <is>
          <t>401「認証が必要です」（E-A-001）</t>
        </is>
      </c>
      <c r="H10" s="12" t="inlineStr">
        <is>
          <t>-（参照のみ）</t>
        </is>
      </c>
      <c r="I10" s="12" t="inlineStr">
        <is>
          <t>-</t>
        </is>
      </c>
      <c r="J10" s="12" t="inlineStr">
        <is>
          <t>33_共通詳細設計書 5.2</t>
        </is>
      </c>
      <c r="K10" s="12" t="inlineStr">
        <is>
          <t>手動</t>
        </is>
      </c>
      <c r="L10" s="12" t="n"/>
      <c r="M10" s="12" t="inlineStr">
        <is>
          <t>OK</t>
        </is>
      </c>
      <c r="N10" s="23" t="n">
        <v>46303</v>
      </c>
      <c r="O10" s="12" t="inlineStr">
        <is>
          <t>佐々木</t>
        </is>
      </c>
      <c r="P10" s="12" t="n"/>
      <c r="Q10" s="15" t="inlineStr">
        <is>
          <t>45_テストエビデンス_API結合.xlsx／共通</t>
        </is>
      </c>
      <c r="R10" s="12" t="n"/>
      <c r="S10" s="12" t="n"/>
      <c r="T10" s="12" t="n"/>
    </row>
    <row r="11" ht="27" customHeight="1">
      <c r="A11" s="12" t="inlineStr">
        <is>
          <t>IT-CMN-E04</t>
        </is>
      </c>
      <c r="B11" s="12" t="inlineStr">
        <is>
          <t>認証・リクエスト形式</t>
        </is>
      </c>
      <c r="C11" s="12" t="inlineStr">
        <is>
          <t>異常系</t>
        </is>
      </c>
      <c r="D11" s="12" t="inlineStr">
        <is>
          <t>退会済みの利用者IDは認証エラーになる</t>
        </is>
      </c>
      <c r="E11" s="12" t="inlineStr">
        <is>
          <t>退会済みの利用者</t>
        </is>
      </c>
      <c r="F11" s="12" t="inlineStr">
        <is>
          <t>退会済みの利用者のIDをX-User-Idに指定してGET /api/events</t>
        </is>
      </c>
      <c r="G11" s="12" t="inlineStr">
        <is>
          <t>401「認証が必要です」（E-A-001）</t>
        </is>
      </c>
      <c r="H11" s="12" t="inlineStr">
        <is>
          <t>-（参照のみ）</t>
        </is>
      </c>
      <c r="I11" s="12" t="inlineStr">
        <is>
          <t>-</t>
        </is>
      </c>
      <c r="J11" s="12" t="inlineStr">
        <is>
          <t>33_共通詳細設計書 5.2</t>
        </is>
      </c>
      <c r="K11" s="12" t="inlineStr">
        <is>
          <t>自動</t>
        </is>
      </c>
      <c r="L11" s="12" t="inlineStr">
        <is>
          <t>ap013_退会済みの利用者は以後のリクエストで認証エラーになる</t>
        </is>
      </c>
      <c r="M11" s="12" t="inlineStr">
        <is>
          <t>OK</t>
        </is>
      </c>
      <c r="N11" s="23" t="n">
        <v>46302</v>
      </c>
      <c r="O11" s="12" t="inlineStr">
        <is>
          <t>佐々木（Claude Code）</t>
        </is>
      </c>
      <c r="P11" s="12" t="inlineStr">
        <is>
          <t>自動テスト成功</t>
        </is>
      </c>
      <c r="Q11" s="12" t="inlineStr">
        <is>
          <t>evidence/IT/IT_API結合_結果一覧_20261007.txt</t>
        </is>
      </c>
      <c r="R11" s="12" t="n"/>
      <c r="S11" s="12" t="n"/>
      <c r="T11" s="12" t="n"/>
    </row>
    <row r="12" ht="27" customHeight="1">
      <c r="A12" s="12" t="inlineStr">
        <is>
          <t>IT-CMN-E05</t>
        </is>
      </c>
      <c r="B12" s="12" t="inlineStr">
        <is>
          <t>認証・リクエスト形式</t>
        </is>
      </c>
      <c r="C12" s="12" t="inlineStr">
        <is>
          <t>異常系</t>
        </is>
      </c>
      <c r="D12" s="12" t="inlineStr">
        <is>
          <t>不正なJSONはリクエスト形式エラーになる</t>
        </is>
      </c>
      <c r="E12" s="12" t="inlineStr">
        <is>
          <t>-</t>
        </is>
      </c>
      <c r="F12" s="12" t="inlineStr">
        <is>
          <t>一般ユーザー（ID=1）でPOST /api/favoritesの本文に{だけを送る</t>
        </is>
      </c>
      <c r="G12" s="12" t="inlineStr">
        <is>
          <t>400「リクエストの形式が不正です」（E-V-022）</t>
        </is>
      </c>
      <c r="H12" s="12" t="inlineStr">
        <is>
          <t>favoritesは変更されない</t>
        </is>
      </c>
      <c r="I12" s="12" t="inlineStr">
        <is>
          <t>【操作の前と後に実行し、結果が同じことを確認する】
SELECT * FROM favorites ORDER BY id;</t>
        </is>
      </c>
      <c r="J12" s="12" t="inlineStr">
        <is>
          <t>33_共通詳細設計書 3.1</t>
        </is>
      </c>
      <c r="K12" s="12" t="inlineStr">
        <is>
          <t>手動</t>
        </is>
      </c>
      <c r="L12" s="12" t="n"/>
      <c r="M12" s="12" t="inlineStr">
        <is>
          <t>OK</t>
        </is>
      </c>
      <c r="N12" s="23" t="n">
        <v>46303</v>
      </c>
      <c r="O12" s="12" t="inlineStr">
        <is>
          <t>佐々木</t>
        </is>
      </c>
      <c r="P12" s="12" t="n"/>
      <c r="Q12" s="15" t="inlineStr">
        <is>
          <t>45_テストエビデンス_API結合.xlsx／共通</t>
        </is>
      </c>
      <c r="R12" s="12" t="n"/>
      <c r="S12" s="12" t="n"/>
      <c r="T12" s="12" t="n"/>
    </row>
    <row r="13" ht="27" customHeight="1">
      <c r="A13" s="12" t="inlineStr">
        <is>
          <t>IT-CMN-E06</t>
        </is>
      </c>
      <c r="B13" s="12" t="inlineStr">
        <is>
          <t>認証・リクエスト形式</t>
        </is>
      </c>
      <c r="C13" s="12" t="inlineStr">
        <is>
          <t>異常系</t>
        </is>
      </c>
      <c r="D13" s="12" t="inlineStr">
        <is>
          <t>パスの型が不正だとリクエスト形式エラーになる</t>
        </is>
      </c>
      <c r="E13" s="12" t="inlineStr">
        <is>
          <t>-</t>
        </is>
      </c>
      <c r="F13" s="12" t="inlineStr">
        <is>
          <t>一般ユーザー（ID=1）でGET /api/events/abc</t>
        </is>
      </c>
      <c r="G13" s="12" t="inlineStr">
        <is>
          <t>400「パラメータの形式が不正です」（E-V-023）</t>
        </is>
      </c>
      <c r="H13" s="12" t="inlineStr">
        <is>
          <t>-（参照のみ）</t>
        </is>
      </c>
      <c r="I13" s="12" t="inlineStr">
        <is>
          <t>-</t>
        </is>
      </c>
      <c r="J13" s="12" t="inlineStr">
        <is>
          <t>33_共通詳細設計書 3.1</t>
        </is>
      </c>
      <c r="K13" s="12" t="inlineStr">
        <is>
          <t>手動</t>
        </is>
      </c>
      <c r="L13" s="12" t="n"/>
      <c r="M13" s="12" t="inlineStr">
        <is>
          <t>OK</t>
        </is>
      </c>
      <c r="N13" s="23" t="n">
        <v>46303</v>
      </c>
      <c r="O13" s="12" t="inlineStr">
        <is>
          <t>佐々木</t>
        </is>
      </c>
      <c r="P13" s="12" t="n"/>
      <c r="Q13" s="15" t="inlineStr">
        <is>
          <t>45_テストエビデンス_API結合.xlsx／共通</t>
        </is>
      </c>
      <c r="R13" s="12" t="n"/>
      <c r="S13" s="12" t="n"/>
      <c r="T13" s="12" t="n"/>
    </row>
    <row r="14" ht="27" customHeight="1">
      <c r="A14" s="12" t="inlineStr">
        <is>
          <t>IT-CMN-E07</t>
        </is>
      </c>
      <c r="B14" s="12" t="inlineStr">
        <is>
          <t>認証・リクエスト形式</t>
        </is>
      </c>
      <c r="C14" s="12" t="inlineStr">
        <is>
          <t>異常系</t>
        </is>
      </c>
      <c r="D14" s="12" t="inlineStr">
        <is>
          <t>権限エラーは入力エラーより優先される</t>
        </is>
      </c>
      <c r="E14" s="12" t="inlineStr">
        <is>
          <t>-</t>
        </is>
      </c>
      <c r="F14" s="12" t="inlineStr">
        <is>
          <t>一般ユーザー（ID=1）でPOST /api/eventsにnameが空の本文を送る</t>
        </is>
      </c>
      <c r="G14" s="12" t="inlineStr">
        <is>
          <t>403「権限がありません」（E-A-002）。400にはならない</t>
        </is>
      </c>
      <c r="H14" s="12" t="inlineStr">
        <is>
          <t>eventsは変更されない</t>
        </is>
      </c>
      <c r="I14" s="12" t="inlineStr">
        <is>
          <t>【操作の前と後に実行し、結果が同じことを確認する】
SELECT * FROM events ORDER BY id;</t>
        </is>
      </c>
      <c r="J14" s="12" t="inlineStr">
        <is>
          <t>23_API基本設計書 2.5</t>
        </is>
      </c>
      <c r="K14" s="12" t="inlineStr">
        <is>
          <t>手動</t>
        </is>
      </c>
      <c r="L14" s="12" t="n"/>
      <c r="M14" s="12" t="inlineStr">
        <is>
          <t>OK</t>
        </is>
      </c>
      <c r="N14" s="23" t="n">
        <v>46303</v>
      </c>
      <c r="O14" s="12" t="inlineStr">
        <is>
          <t>佐々木</t>
        </is>
      </c>
      <c r="P14" s="12" t="n"/>
      <c r="Q14" s="15" t="inlineStr">
        <is>
          <t>45_テストエビデンス_API結合.xlsx／共通</t>
        </is>
      </c>
      <c r="R14" s="12" t="n"/>
      <c r="S14" s="12" t="n"/>
      <c r="T14" s="12" t="n"/>
    </row>
    <row r="15" ht="27" customHeight="1">
      <c r="A15" s="12" t="inlineStr">
        <is>
          <t>IT-AP010-N01</t>
        </is>
      </c>
      <c r="B15" s="12" t="inlineStr">
        <is>
          <t>AP-010 ログイン POST /api/login</t>
        </is>
      </c>
      <c r="C15" s="12" t="inlineStr">
        <is>
          <t>正常系</t>
        </is>
      </c>
      <c r="D15" s="12" t="inlineStr">
        <is>
          <t>正しいメールアドレスとパスワードでログインできる</t>
        </is>
      </c>
      <c r="E15" s="12" t="inlineStr">
        <is>
          <t>TD-00</t>
        </is>
      </c>
      <c r="F15" s="12" t="inlineStr">
        <is>
          <t>{"email":"admin@example.com","password":"Test1234"}</t>
        </is>
      </c>
      <c r="G15" s="12" t="inlineStr">
        <is>
          <t>200、userId=2、roleCode=2、roleName=「管理者」</t>
        </is>
      </c>
      <c r="H15" s="12" t="inlineStr">
        <is>
          <t>-（参照のみ）</t>
        </is>
      </c>
      <c r="I15" s="12" t="inlineStr">
        <is>
          <t>-</t>
        </is>
      </c>
      <c r="J15" s="12" t="inlineStr">
        <is>
          <t>AP-010、R-22</t>
        </is>
      </c>
      <c r="K15" s="12" t="inlineStr">
        <is>
          <t>自動</t>
        </is>
      </c>
      <c r="L15" s="12" t="inlineStr">
        <is>
          <t>ap010_正しいパスワードでログインでき利用者区分のコードと表示名が返る</t>
        </is>
      </c>
      <c r="M15" s="12" t="inlineStr">
        <is>
          <t>OK</t>
        </is>
      </c>
      <c r="N15" s="23" t="n">
        <v>46302</v>
      </c>
      <c r="O15" s="12" t="inlineStr">
        <is>
          <t>佐々木（Claude Code）</t>
        </is>
      </c>
      <c r="P15" s="12" t="inlineStr">
        <is>
          <t>自動テスト成功</t>
        </is>
      </c>
      <c r="Q15" s="12" t="inlineStr">
        <is>
          <t>evidence/IT/IT_API結合_結果一覧_20261007.txt</t>
        </is>
      </c>
      <c r="R15" s="12" t="n"/>
      <c r="S15" s="12" t="n"/>
      <c r="T15" s="12" t="n"/>
    </row>
    <row r="16" ht="27" customHeight="1">
      <c r="A16" s="12" t="inlineStr">
        <is>
          <t>IT-AP010-N02</t>
        </is>
      </c>
      <c r="B16" s="12" t="inlineStr">
        <is>
          <t>AP-010 ログイン POST /api/login</t>
        </is>
      </c>
      <c r="C16" s="12" t="inlineStr">
        <is>
          <t>正常系</t>
        </is>
      </c>
      <c r="D16" s="12" t="inlineStr">
        <is>
          <t>メールアドレスの前後の空白と大文字は正規化される</t>
        </is>
      </c>
      <c r="E16" s="12" t="inlineStr">
        <is>
          <t>TD-00</t>
        </is>
      </c>
      <c r="F16" s="12" t="inlineStr">
        <is>
          <t>{"email":"  ADMIN@example.com ","password":"Test1234"}</t>
        </is>
      </c>
      <c r="G16" s="12" t="inlineStr">
        <is>
          <t>200、userId=2</t>
        </is>
      </c>
      <c r="H16" s="12" t="inlineStr">
        <is>
          <t>-（参照のみ）</t>
        </is>
      </c>
      <c r="I16" s="12" t="inlineStr">
        <is>
          <t>-</t>
        </is>
      </c>
      <c r="J16" s="12" t="inlineStr">
        <is>
          <t>24_方式設計書 4.3</t>
        </is>
      </c>
      <c r="K16" s="12" t="inlineStr">
        <is>
          <t>自動</t>
        </is>
      </c>
      <c r="L16" s="12" t="inlineStr">
        <is>
          <t>ap010_前後に空白のあるメールアドレスでもログインできる</t>
        </is>
      </c>
      <c r="M16" s="12" t="inlineStr">
        <is>
          <t>OK</t>
        </is>
      </c>
      <c r="N16" s="23" t="n">
        <v>46302</v>
      </c>
      <c r="O16" s="12" t="inlineStr">
        <is>
          <t>佐々木（Claude Code）</t>
        </is>
      </c>
      <c r="P16" s="12" t="inlineStr">
        <is>
          <t>自動テスト成功</t>
        </is>
      </c>
      <c r="Q16" s="12" t="inlineStr">
        <is>
          <t>evidence/IT/IT_API結合_結果一覧_20261007.txt</t>
        </is>
      </c>
      <c r="R16" s="12" t="n"/>
      <c r="S16" s="12" t="n"/>
      <c r="T16" s="12" t="n"/>
    </row>
    <row r="17" ht="27" customHeight="1">
      <c r="A17" s="12" t="inlineStr">
        <is>
          <t>IT-AP010-N03</t>
        </is>
      </c>
      <c r="B17" s="12" t="inlineStr">
        <is>
          <t>AP-010 ログイン POST /api/login</t>
        </is>
      </c>
      <c r="C17" s="12" t="inlineStr">
        <is>
          <t>正常系</t>
        </is>
      </c>
      <c r="D17" s="12" t="inlineStr">
        <is>
          <t>応答にパスワードが含まれない</t>
        </is>
      </c>
      <c r="E17" s="12" t="inlineStr">
        <is>
          <t>TD-00</t>
        </is>
      </c>
      <c r="F17" s="12" t="inlineStr">
        <is>
          <t>正しいメールアドレスとパスワードでログインする</t>
        </is>
      </c>
      <c r="G17" s="12" t="inlineStr">
        <is>
          <t>200。応答にpassword・passwordHashの項目が無い</t>
        </is>
      </c>
      <c r="H17" s="12" t="inlineStr">
        <is>
          <t>-（参照のみ）</t>
        </is>
      </c>
      <c r="I17" s="12" t="inlineStr">
        <is>
          <t>-</t>
        </is>
      </c>
      <c r="J17" s="12" t="inlineStr">
        <is>
          <t>23_API基本設計書 2.10</t>
        </is>
      </c>
      <c r="K17" s="12" t="inlineStr">
        <is>
          <t>手動</t>
        </is>
      </c>
      <c r="L17" s="12" t="n"/>
      <c r="M17" s="12" t="inlineStr">
        <is>
          <t>OK</t>
        </is>
      </c>
      <c r="N17" s="23" t="n">
        <v>46303</v>
      </c>
      <c r="O17" s="12" t="inlineStr">
        <is>
          <t>佐々木</t>
        </is>
      </c>
      <c r="P17" s="12" t="n"/>
      <c r="Q17" s="15" t="inlineStr">
        <is>
          <t>45_テストエビデンス_API結合.xlsx／AP-010</t>
        </is>
      </c>
      <c r="R17" s="12" t="n"/>
      <c r="S17" s="12" t="n"/>
      <c r="T17" s="12" t="n"/>
    </row>
    <row r="18" ht="40.5" customHeight="1">
      <c r="A18" s="12" t="inlineStr">
        <is>
          <t>IT-AP010-E01</t>
        </is>
      </c>
      <c r="B18" s="12" t="inlineStr">
        <is>
          <t>AP-010 ログイン POST /api/login</t>
        </is>
      </c>
      <c r="C18" s="12" t="inlineStr">
        <is>
          <t>異常系</t>
        </is>
      </c>
      <c r="D18" s="12" t="inlineStr">
        <is>
          <t>パスワードが一致しないとログインできない</t>
        </is>
      </c>
      <c r="E18" s="12" t="inlineStr">
        <is>
          <t>TD-00</t>
        </is>
      </c>
      <c r="F18" s="12" t="inlineStr">
        <is>
          <t>{"email":"admin@example.com","password":"Wrong1234"}</t>
        </is>
      </c>
      <c r="G18" s="12" t="inlineStr">
        <is>
          <t>401「ログインできませんでした。入力内容をご確認のうえ、初めてご利用の場合は新規登録してください」（E-A-006）</t>
        </is>
      </c>
      <c r="H18" s="12" t="inlineStr">
        <is>
          <t>-（参照のみ）</t>
        </is>
      </c>
      <c r="I18" s="12" t="inlineStr">
        <is>
          <t>-</t>
        </is>
      </c>
      <c r="J18" s="12" t="inlineStr">
        <is>
          <t>R-22</t>
        </is>
      </c>
      <c r="K18" s="12" t="inlineStr">
        <is>
          <t>自動</t>
        </is>
      </c>
      <c r="L18" s="12" t="inlineStr">
        <is>
          <t>ap010_パスワードが一致しなければ401になる</t>
        </is>
      </c>
      <c r="M18" s="12" t="inlineStr">
        <is>
          <t>OK</t>
        </is>
      </c>
      <c r="N18" s="23" t="n">
        <v>46302</v>
      </c>
      <c r="O18" s="12" t="inlineStr">
        <is>
          <t>佐々木（Claude Code）</t>
        </is>
      </c>
      <c r="P18" s="12" t="inlineStr">
        <is>
          <t>自動テスト成功</t>
        </is>
      </c>
      <c r="Q18" s="12" t="inlineStr">
        <is>
          <t>evidence/IT/IT_API結合_結果一覧_20261007.txt</t>
        </is>
      </c>
      <c r="R18" s="12" t="n"/>
      <c r="S18" s="12" t="n"/>
      <c r="T18" s="12" t="n"/>
    </row>
    <row r="19" ht="40.5" customHeight="1">
      <c r="A19" s="12" t="inlineStr">
        <is>
          <t>IT-AP010-E02</t>
        </is>
      </c>
      <c r="B19" s="12" t="inlineStr">
        <is>
          <t>AP-010 ログイン POST /api/login</t>
        </is>
      </c>
      <c r="C19" s="12" t="inlineStr">
        <is>
          <t>異常系</t>
        </is>
      </c>
      <c r="D19" s="12" t="inlineStr">
        <is>
          <t>未登録のメールアドレスではログインできない（パスワード不一致と同じ文言）</t>
        </is>
      </c>
      <c r="E19" s="12" t="inlineStr">
        <is>
          <t>-</t>
        </is>
      </c>
      <c r="F19" s="12" t="inlineStr">
        <is>
          <t>{"email":"nobody@example.com","password":"Test1234"}</t>
        </is>
      </c>
      <c r="G19" s="12" t="inlineStr">
        <is>
          <t>401「ログインできませんでした。入力内容をご確認のうえ、初めてご利用の場合は新規登録してください」（E-A-006）</t>
        </is>
      </c>
      <c r="H19" s="12" t="inlineStr">
        <is>
          <t>-（参照のみ）</t>
        </is>
      </c>
      <c r="I19" s="12" t="inlineStr">
        <is>
          <t>-</t>
        </is>
      </c>
      <c r="J19" s="12" t="inlineStr">
        <is>
          <t>R-22、24_方式設計書 3.5</t>
        </is>
      </c>
      <c r="K19" s="12" t="inlineStr">
        <is>
          <t>自動</t>
        </is>
      </c>
      <c r="L19" s="12" t="inlineStr">
        <is>
          <t>ap010_未登録のメールアドレスはパスワード不一致と同じ401になる</t>
        </is>
      </c>
      <c r="M19" s="12" t="inlineStr">
        <is>
          <t>OK</t>
        </is>
      </c>
      <c r="N19" s="23" t="n">
        <v>46302</v>
      </c>
      <c r="O19" s="12" t="inlineStr">
        <is>
          <t>佐々木（Claude Code）</t>
        </is>
      </c>
      <c r="P19" s="12" t="inlineStr">
        <is>
          <t>自動テスト成功</t>
        </is>
      </c>
      <c r="Q19" s="12" t="inlineStr">
        <is>
          <t>evidence/IT/IT_API結合_結果一覧_20261007.txt</t>
        </is>
      </c>
      <c r="R19" s="12" t="n"/>
      <c r="S19" s="12" t="n"/>
      <c r="T19" s="12" t="n"/>
    </row>
    <row r="20" ht="40.5" customHeight="1">
      <c r="A20" s="12" t="inlineStr">
        <is>
          <t>IT-AP010-E03</t>
        </is>
      </c>
      <c r="B20" s="12" t="inlineStr">
        <is>
          <t>AP-010 ログイン POST /api/login</t>
        </is>
      </c>
      <c r="C20" s="12" t="inlineStr">
        <is>
          <t>異常系</t>
        </is>
      </c>
      <c r="D20" s="12" t="inlineStr">
        <is>
          <t>退会済みの利用者は、退会前のメールアドレスとパスワードでログインできない</t>
        </is>
      </c>
      <c r="E20" s="12" t="inlineStr">
        <is>
          <t>退会済みの利用者（退会前はgeneral@example.com）</t>
        </is>
      </c>
      <c r="F20" s="12" t="inlineStr">
        <is>
          <t>{"email":"general@example.com","password":"Test1234"}</t>
        </is>
      </c>
      <c r="G20" s="12" t="inlineStr">
        <is>
          <t>401「ログインできませんでした。入力内容をご確認のうえ、初めてご利用の場合は新規登録してください」（E-A-006）</t>
        </is>
      </c>
      <c r="H20" s="12" t="inlineStr">
        <is>
          <t>-（参照のみ）</t>
        </is>
      </c>
      <c r="I20" s="12" t="inlineStr">
        <is>
          <t>-</t>
        </is>
      </c>
      <c r="J20" s="12" t="inlineStr">
        <is>
          <t>R-22、R-24</t>
        </is>
      </c>
      <c r="K20" s="12" t="inlineStr">
        <is>
          <t>自動</t>
        </is>
      </c>
      <c r="L20" s="12" t="inlineStr">
        <is>
          <t>ap013_退会後は元のメールアドレスとパスワードでログインできない</t>
        </is>
      </c>
      <c r="M20" s="12" t="inlineStr">
        <is>
          <t>OK</t>
        </is>
      </c>
      <c r="N20" s="23" t="n">
        <v>46302</v>
      </c>
      <c r="O20" s="12" t="inlineStr">
        <is>
          <t>佐々木（Claude Code）</t>
        </is>
      </c>
      <c r="P20" s="12" t="inlineStr">
        <is>
          <t>自動テスト成功</t>
        </is>
      </c>
      <c r="Q20" s="12" t="inlineStr">
        <is>
          <t>evidence/IT/IT_API結合_結果一覧_20261007.txt</t>
        </is>
      </c>
      <c r="R20" s="12" t="n"/>
      <c r="S20" s="12" t="n"/>
      <c r="T20" s="12" t="n"/>
    </row>
    <row r="21" ht="27" customHeight="1">
      <c r="A21" s="12" t="inlineStr">
        <is>
          <t>IT-AP010-E04</t>
        </is>
      </c>
      <c r="B21" s="12" t="inlineStr">
        <is>
          <t>AP-010 ログイン POST /api/login</t>
        </is>
      </c>
      <c r="C21" s="12" t="inlineStr">
        <is>
          <t>異常系</t>
        </is>
      </c>
      <c r="D21" s="12" t="inlineStr">
        <is>
          <t>メールアドレスが未入力だと入力エラーになる</t>
        </is>
      </c>
      <c r="E21" s="12" t="inlineStr">
        <is>
          <t>-</t>
        </is>
      </c>
      <c r="F21" s="12" t="inlineStr">
        <is>
          <t>{"email":"","password":"Test1234"}</t>
        </is>
      </c>
      <c r="G21" s="12" t="inlineStr">
        <is>
          <t>400、errors[]にemail「メールアドレスを入力してください」（E-V-001）</t>
        </is>
      </c>
      <c r="H21" s="12" t="inlineStr">
        <is>
          <t>-（参照のみ）</t>
        </is>
      </c>
      <c r="I21" s="12" t="inlineStr">
        <is>
          <t>-</t>
        </is>
      </c>
      <c r="J21" s="12" t="inlineStr">
        <is>
          <t>E-V-001</t>
        </is>
      </c>
      <c r="K21" s="12" t="inlineStr">
        <is>
          <t>手動</t>
        </is>
      </c>
      <c r="L21" s="12" t="n"/>
      <c r="M21" s="12" t="inlineStr">
        <is>
          <t>OK</t>
        </is>
      </c>
      <c r="N21" s="23" t="n">
        <v>46303</v>
      </c>
      <c r="O21" s="12" t="inlineStr">
        <is>
          <t>佐々木</t>
        </is>
      </c>
      <c r="P21" s="12" t="n"/>
      <c r="Q21" s="15" t="inlineStr">
        <is>
          <t>45_テストエビデンス_API結合.xlsx／AP-010</t>
        </is>
      </c>
      <c r="R21" s="12" t="n"/>
      <c r="S21" s="12" t="n"/>
      <c r="T21" s="12" t="n"/>
    </row>
    <row r="22" ht="27" customHeight="1">
      <c r="A22" s="12" t="inlineStr">
        <is>
          <t>IT-AP010-E05</t>
        </is>
      </c>
      <c r="B22" s="12" t="inlineStr">
        <is>
          <t>AP-010 ログイン POST /api/login</t>
        </is>
      </c>
      <c r="C22" s="12" t="inlineStr">
        <is>
          <t>異常系</t>
        </is>
      </c>
      <c r="D22" s="12" t="inlineStr">
        <is>
          <t>メールアドレスの形式が不正だと入力エラーになる</t>
        </is>
      </c>
      <c r="E22" s="12" t="inlineStr">
        <is>
          <t>-</t>
        </is>
      </c>
      <c r="F22" s="12" t="inlineStr">
        <is>
          <t>{"email":"abc","password":"Test1234"}</t>
        </is>
      </c>
      <c r="G22" s="12" t="inlineStr">
        <is>
          <t>400、errors[]にemail「メールアドレスの形式が正しくありません」（E-V-001）</t>
        </is>
      </c>
      <c r="H22" s="12" t="inlineStr">
        <is>
          <t>-（参照のみ）</t>
        </is>
      </c>
      <c r="I22" s="12" t="inlineStr">
        <is>
          <t>-</t>
        </is>
      </c>
      <c r="J22" s="12" t="inlineStr">
        <is>
          <t>E-V-001</t>
        </is>
      </c>
      <c r="K22" s="12" t="inlineStr">
        <is>
          <t>手動</t>
        </is>
      </c>
      <c r="L22" s="12" t="n"/>
      <c r="M22" s="12" t="inlineStr">
        <is>
          <t>OK</t>
        </is>
      </c>
      <c r="N22" s="23" t="n">
        <v>46303</v>
      </c>
      <c r="O22" s="12" t="inlineStr">
        <is>
          <t>佐々木</t>
        </is>
      </c>
      <c r="P22" s="12" t="n"/>
      <c r="Q22" s="15" t="inlineStr">
        <is>
          <t>45_テストエビデンス_API結合.xlsx／AP-010</t>
        </is>
      </c>
      <c r="R22" s="12" t="n"/>
      <c r="S22" s="12" t="n"/>
      <c r="T22" s="12" t="n"/>
    </row>
    <row r="23" ht="27" customHeight="1">
      <c r="A23" s="12" t="inlineStr">
        <is>
          <t>IT-AP010-E06</t>
        </is>
      </c>
      <c r="B23" s="12" t="inlineStr">
        <is>
          <t>AP-010 ログイン POST /api/login</t>
        </is>
      </c>
      <c r="C23" s="12" t="inlineStr">
        <is>
          <t>異常系</t>
        </is>
      </c>
      <c r="D23" s="12" t="inlineStr">
        <is>
          <t>パスワードが未入力だと入力エラーになる</t>
        </is>
      </c>
      <c r="E23" s="12" t="inlineStr">
        <is>
          <t>-</t>
        </is>
      </c>
      <c r="F23" s="12" t="inlineStr">
        <is>
          <t>{"email":"admin@example.com"}</t>
        </is>
      </c>
      <c r="G23" s="12" t="inlineStr">
        <is>
          <t>400、errors[]にpassword「パスワードを入力してください」（E-V-024）</t>
        </is>
      </c>
      <c r="H23" s="12" t="inlineStr">
        <is>
          <t>-（参照のみ）</t>
        </is>
      </c>
      <c r="I23" s="12" t="inlineStr">
        <is>
          <t>-</t>
        </is>
      </c>
      <c r="J23" s="12" t="inlineStr">
        <is>
          <t>E-V-024</t>
        </is>
      </c>
      <c r="K23" s="12" t="inlineStr">
        <is>
          <t>自動</t>
        </is>
      </c>
      <c r="L23" s="12" t="inlineStr">
        <is>
          <t>ap010_パスワード未入力は400になる</t>
        </is>
      </c>
      <c r="M23" s="12" t="inlineStr">
        <is>
          <t>OK</t>
        </is>
      </c>
      <c r="N23" s="23" t="n">
        <v>46302</v>
      </c>
      <c r="O23" s="12" t="inlineStr">
        <is>
          <t>佐々木（Claude Code）</t>
        </is>
      </c>
      <c r="P23" s="12" t="inlineStr">
        <is>
          <t>自動テスト成功</t>
        </is>
      </c>
      <c r="Q23" s="12" t="inlineStr">
        <is>
          <t>evidence/IT/IT_API結合_結果一覧_20261007.txt</t>
        </is>
      </c>
      <c r="R23" s="12" t="n"/>
      <c r="S23" s="12" t="n"/>
      <c r="T23" s="12" t="n"/>
    </row>
    <row r="24" ht="40.5" customHeight="1">
      <c r="A24" s="12" t="inlineStr">
        <is>
          <t>IT-AP011-N01</t>
        </is>
      </c>
      <c r="B24" s="12" t="inlineStr">
        <is>
          <t>AP-011 利用者登録 POST /api/users</t>
        </is>
      </c>
      <c r="C24" s="12" t="inlineStr">
        <is>
          <t>正常系</t>
        </is>
      </c>
      <c r="D24" s="12" t="inlineStr">
        <is>
          <t>未登録のメールアドレスで登録できる</t>
        </is>
      </c>
      <c r="E24" s="12" t="inlineStr">
        <is>
          <t>未登録のメールアドレス</t>
        </is>
      </c>
      <c r="F24" s="12" t="inlineStr">
        <is>
          <t>名前・メールアドレス・パスワードTest1234</t>
        </is>
      </c>
      <c r="G24" s="12" t="inlineStr">
        <is>
          <t>201、roleCode=1、roleName=「一般利用者」。応答にパスワードが含まれない</t>
        </is>
      </c>
      <c r="H24" s="12" t="inlineStr">
        <is>
          <t>usersに1行追加される。role_code=1。password_hashは入力値と異なる値（ハッシュ値）</t>
        </is>
      </c>
      <c r="I24" s="12" t="inlineStr">
        <is>
          <t>-</t>
        </is>
      </c>
      <c r="J24" s="12" t="inlineStr">
        <is>
          <t>AP-011、24_方式設計書 3.1</t>
        </is>
      </c>
      <c r="K24" s="12" t="inlineStr">
        <is>
          <t>自動</t>
        </is>
      </c>
      <c r="L24" s="12" t="inlineStr">
        <is>
          <t>ap011_パスワードはハッシュ化して保存される</t>
        </is>
      </c>
      <c r="M24" s="12" t="inlineStr">
        <is>
          <t>OK</t>
        </is>
      </c>
      <c r="N24" s="23" t="n">
        <v>46302</v>
      </c>
      <c r="O24" s="12" t="inlineStr">
        <is>
          <t>佐々木（Claude Code）</t>
        </is>
      </c>
      <c r="P24" s="12" t="inlineStr">
        <is>
          <t>自動テスト成功</t>
        </is>
      </c>
      <c r="Q24" s="12" t="inlineStr">
        <is>
          <t>evidence/IT/IT_API結合_結果一覧_20261007.txt</t>
        </is>
      </c>
      <c r="R24" s="12" t="n"/>
      <c r="S24" s="12" t="n"/>
      <c r="T24" s="12" t="n"/>
    </row>
    <row r="25" ht="27" customHeight="1">
      <c r="A25" s="12" t="inlineStr">
        <is>
          <t>IT-AP011-N02</t>
        </is>
      </c>
      <c r="B25" s="12" t="inlineStr">
        <is>
          <t>AP-011 利用者登録 POST /api/users</t>
        </is>
      </c>
      <c r="C25" s="12" t="inlineStr">
        <is>
          <t>正常系</t>
        </is>
      </c>
      <c r="D25" s="12" t="inlineStr">
        <is>
          <t>メールアドレスは正規化して保存される</t>
        </is>
      </c>
      <c r="E25" s="12" t="inlineStr">
        <is>
          <t>未登録のメールアドレス</t>
        </is>
      </c>
      <c r="F25" s="12" t="inlineStr">
        <is>
          <t>メールアドレスを" New-User@Example.com "として登録する</t>
        </is>
      </c>
      <c r="G25" s="12" t="inlineStr">
        <is>
          <t>201、email=new-user@example.com</t>
        </is>
      </c>
      <c r="H25" s="12" t="inlineStr">
        <is>
          <t>users.emailがnew-user@example.com</t>
        </is>
      </c>
      <c r="I25" s="12" t="inlineStr">
        <is>
          <t>-</t>
        </is>
      </c>
      <c r="J25" s="12" t="inlineStr">
        <is>
          <t>24_方式設計書 4.3</t>
        </is>
      </c>
      <c r="K25" s="12" t="inlineStr">
        <is>
          <t>自動</t>
        </is>
      </c>
      <c r="L25" s="12" t="inlineStr">
        <is>
          <t>ap011_前後に空白のあるメールアドレスは正規化して登録される</t>
        </is>
      </c>
      <c r="M25" s="12" t="inlineStr">
        <is>
          <t>OK</t>
        </is>
      </c>
      <c r="N25" s="23" t="n">
        <v>46302</v>
      </c>
      <c r="O25" s="12" t="inlineStr">
        <is>
          <t>佐々木（Claude Code）</t>
        </is>
      </c>
      <c r="P25" s="12" t="inlineStr">
        <is>
          <t>自動テスト成功</t>
        </is>
      </c>
      <c r="Q25" s="12" t="inlineStr">
        <is>
          <t>evidence/IT/IT_API結合_結果一覧_20261007.txt</t>
        </is>
      </c>
      <c r="R25" s="12" t="n"/>
      <c r="S25" s="12" t="n"/>
      <c r="T25" s="12" t="n"/>
    </row>
    <row r="26" ht="27" customHeight="1">
      <c r="A26" s="12" t="inlineStr">
        <is>
          <t>IT-AP011-N03</t>
        </is>
      </c>
      <c r="B26" s="12" t="inlineStr">
        <is>
          <t>AP-011 利用者登録 POST /api/users</t>
        </is>
      </c>
      <c r="C26" s="12" t="inlineStr">
        <is>
          <t>正常系</t>
        </is>
      </c>
      <c r="D26" s="12" t="inlineStr">
        <is>
          <t>名前は100文字まで登録できる（上限）</t>
        </is>
      </c>
      <c r="E26" s="12" t="inlineStr">
        <is>
          <t>未登録のメールアドレス</t>
        </is>
      </c>
      <c r="F26" s="12" t="inlineStr">
        <is>
          <t>名前を100文字にして登録する</t>
        </is>
      </c>
      <c r="G26" s="12" t="inlineStr">
        <is>
          <t>201</t>
        </is>
      </c>
      <c r="H26" s="12" t="inlineStr">
        <is>
          <t>usersに1行追加される</t>
        </is>
      </c>
      <c r="I26" s="12" t="inlineStr">
        <is>
          <t>【操作の前と後に実行し、期待結果のとおりであることを確認する】
SELECT id, name, email, role_code, password_hash, anonymized_at, updated_at FROM users ORDER BY id;</t>
        </is>
      </c>
      <c r="J26" s="12" t="inlineStr">
        <is>
          <t>E-V-002</t>
        </is>
      </c>
      <c r="K26" s="12" t="inlineStr">
        <is>
          <t>手動</t>
        </is>
      </c>
      <c r="L26" s="12" t="n"/>
      <c r="M26" s="12" t="inlineStr">
        <is>
          <t>OK</t>
        </is>
      </c>
      <c r="N26" s="23" t="n">
        <v>46303</v>
      </c>
      <c r="O26" s="12" t="inlineStr">
        <is>
          <t>佐々木</t>
        </is>
      </c>
      <c r="P26" s="12" t="n"/>
      <c r="Q26" s="15" t="inlineStr">
        <is>
          <t>45_テストエビデンス_API結合.xlsx／AP-011</t>
        </is>
      </c>
      <c r="R26" s="12" t="n"/>
      <c r="S26" s="12" t="n"/>
      <c r="T26" s="12" t="n"/>
    </row>
    <row r="27" ht="27" customHeight="1">
      <c r="A27" s="12" t="inlineStr">
        <is>
          <t>IT-AP011-N04</t>
        </is>
      </c>
      <c r="B27" s="12" t="inlineStr">
        <is>
          <t>AP-011 利用者登録 POST /api/users</t>
        </is>
      </c>
      <c r="C27" s="12" t="inlineStr">
        <is>
          <t>正常系</t>
        </is>
      </c>
      <c r="D27" s="12" t="inlineStr">
        <is>
          <t>パスワードは8文字で登録できる（下限）</t>
        </is>
      </c>
      <c r="E27" s="12" t="inlineStr">
        <is>
          <t>未登録のメールアドレス</t>
        </is>
      </c>
      <c r="F27" s="12" t="inlineStr">
        <is>
          <t>パスワードをAbcdef12（8文字）にして登録する</t>
        </is>
      </c>
      <c r="G27" s="12" t="inlineStr">
        <is>
          <t>201</t>
        </is>
      </c>
      <c r="H27" s="12" t="inlineStr">
        <is>
          <t>usersに1行追加される</t>
        </is>
      </c>
      <c r="I27" s="12" t="inlineStr">
        <is>
          <t>【操作の前と後に実行し、期待結果のとおりであることを確認する】
SELECT id, name, email, role_code, password_hash, anonymized_at, updated_at FROM users ORDER BY id;</t>
        </is>
      </c>
      <c r="J27" s="12" t="inlineStr">
        <is>
          <t>R-21</t>
        </is>
      </c>
      <c r="K27" s="12" t="inlineStr">
        <is>
          <t>手動</t>
        </is>
      </c>
      <c r="L27" s="12" t="n"/>
      <c r="M27" s="12" t="inlineStr">
        <is>
          <t>OK</t>
        </is>
      </c>
      <c r="N27" s="23" t="n">
        <v>46303</v>
      </c>
      <c r="O27" s="12" t="inlineStr">
        <is>
          <t>佐々木</t>
        </is>
      </c>
      <c r="P27" s="12" t="n"/>
      <c r="Q27" s="15" t="inlineStr">
        <is>
          <t>45_テストエビデンス_API結合.xlsx／AP-011</t>
        </is>
      </c>
      <c r="R27" s="12" t="n"/>
      <c r="S27" s="12" t="n"/>
      <c r="T27" s="12" t="n"/>
    </row>
    <row r="28" ht="27" customHeight="1">
      <c r="A28" s="12" t="inlineStr">
        <is>
          <t>IT-AP011-N05</t>
        </is>
      </c>
      <c r="B28" s="12" t="inlineStr">
        <is>
          <t>AP-011 利用者登録 POST /api/users</t>
        </is>
      </c>
      <c r="C28" s="12" t="inlineStr">
        <is>
          <t>正常系</t>
        </is>
      </c>
      <c r="D28" s="12" t="inlineStr">
        <is>
          <t>パスワードは72文字で登録できる（上限）</t>
        </is>
      </c>
      <c r="E28" s="12" t="inlineStr">
        <is>
          <t>未登録のメールアドレス</t>
        </is>
      </c>
      <c r="F28" s="12" t="inlineStr">
        <is>
          <t>英字と数字を含む72文字のパスワードで登録する</t>
        </is>
      </c>
      <c r="G28" s="12" t="inlineStr">
        <is>
          <t>201</t>
        </is>
      </c>
      <c r="H28" s="12" t="inlineStr">
        <is>
          <t>usersに1行追加される</t>
        </is>
      </c>
      <c r="I28" s="12" t="inlineStr">
        <is>
          <t>【操作の前と後に実行し、期待結果のとおりであることを確認する】
SELECT id, name, email, role_code, password_hash, anonymized_at, updated_at FROM users ORDER BY id;</t>
        </is>
      </c>
      <c r="J28" s="12" t="inlineStr">
        <is>
          <t>R-21</t>
        </is>
      </c>
      <c r="K28" s="12" t="inlineStr">
        <is>
          <t>手動</t>
        </is>
      </c>
      <c r="L28" s="12" t="n"/>
      <c r="M28" s="12" t="inlineStr">
        <is>
          <t>OK</t>
        </is>
      </c>
      <c r="N28" s="23" t="n">
        <v>46303</v>
      </c>
      <c r="O28" s="12" t="inlineStr">
        <is>
          <t>佐々木</t>
        </is>
      </c>
      <c r="P28" s="12" t="n"/>
      <c r="Q28" s="15" t="inlineStr">
        <is>
          <t>45_テストエビデンス_API結合.xlsx／AP-011</t>
        </is>
      </c>
      <c r="R28" s="12" t="n"/>
      <c r="S28" s="12" t="n"/>
      <c r="T28" s="12" t="n"/>
    </row>
    <row r="29" ht="27" customHeight="1">
      <c r="A29" s="12" t="inlineStr">
        <is>
          <t>IT-AP011-E01</t>
        </is>
      </c>
      <c r="B29" s="12" t="inlineStr">
        <is>
          <t>AP-011 利用者登録 POST /api/users</t>
        </is>
      </c>
      <c r="C29" s="12" t="inlineStr">
        <is>
          <t>異常系</t>
        </is>
      </c>
      <c r="D29" s="12" t="inlineStr">
        <is>
          <t>登録済みのメールアドレスは登録できない（重複を直接伝えない文言）</t>
        </is>
      </c>
      <c r="E29" s="12" t="inlineStr">
        <is>
          <t>TD-00</t>
        </is>
      </c>
      <c r="F29" s="12" t="inlineStr">
        <is>
          <t>メールアドレスをgeneral@example.comとして登録する</t>
        </is>
      </c>
      <c r="G29" s="12" t="inlineStr">
        <is>
          <t>400「この内容では登録できませんでした。ログインをお試しください」（E-B-015）</t>
        </is>
      </c>
      <c r="H29" s="12" t="inlineStr">
        <is>
          <t>usersの行数は変わらない</t>
        </is>
      </c>
      <c r="I29" s="12" t="inlineStr">
        <is>
          <t>【操作の前と後に実行し、結果が同じことを確認する】
SELECT * FROM users ORDER BY id;</t>
        </is>
      </c>
      <c r="J29" s="12" t="inlineStr">
        <is>
          <t>R-15、24_方式設計書 3.5</t>
        </is>
      </c>
      <c r="K29" s="12" t="inlineStr">
        <is>
          <t>手動</t>
        </is>
      </c>
      <c r="L29" s="12" t="n"/>
      <c r="M29" s="12" t="inlineStr">
        <is>
          <t>OK</t>
        </is>
      </c>
      <c r="N29" s="23" t="n">
        <v>46303</v>
      </c>
      <c r="O29" s="12" t="inlineStr">
        <is>
          <t>佐々木</t>
        </is>
      </c>
      <c r="P29" s="12" t="n"/>
      <c r="Q29" s="15" t="inlineStr">
        <is>
          <t>45_テストエビデンス_API結合.xlsx／AP-011</t>
        </is>
      </c>
      <c r="R29" s="12" t="n"/>
      <c r="S29" s="12" t="n"/>
      <c r="T29" s="12" t="n"/>
    </row>
    <row r="30" ht="27" customHeight="1">
      <c r="A30" s="12" t="inlineStr">
        <is>
          <t>IT-AP011-E02</t>
        </is>
      </c>
      <c r="B30" s="12" t="inlineStr">
        <is>
          <t>AP-011 利用者登録 POST /api/users</t>
        </is>
      </c>
      <c r="C30" s="12" t="inlineStr">
        <is>
          <t>異常系</t>
        </is>
      </c>
      <c r="D30" s="12" t="inlineStr">
        <is>
          <t>空白・大文字だけが異なるメールアドレスも重複として拒否される</t>
        </is>
      </c>
      <c r="E30" s="12" t="inlineStr">
        <is>
          <t>TD-00</t>
        </is>
      </c>
      <c r="F30" s="12" t="inlineStr">
        <is>
          <t>メールアドレスを" GENERAL@example.com "として登録する</t>
        </is>
      </c>
      <c r="G30" s="12" t="inlineStr">
        <is>
          <t>400（E-B-015）。形式エラーにはならない</t>
        </is>
      </c>
      <c r="H30" s="12" t="inlineStr">
        <is>
          <t>usersの行数は変わらない</t>
        </is>
      </c>
      <c r="I30" s="12" t="inlineStr">
        <is>
          <t>-</t>
        </is>
      </c>
      <c r="J30" s="12" t="inlineStr">
        <is>
          <t>24_方式設計書 4.3</t>
        </is>
      </c>
      <c r="K30" s="12" t="inlineStr">
        <is>
          <t>自動</t>
        </is>
      </c>
      <c r="L30" s="12" t="inlineStr">
        <is>
          <t>ap011_登録済みのメールアドレスに空白を付けても重複として拒否される</t>
        </is>
      </c>
      <c r="M30" s="12" t="inlineStr">
        <is>
          <t>OK</t>
        </is>
      </c>
      <c r="N30" s="23" t="n">
        <v>46302</v>
      </c>
      <c r="O30" s="12" t="inlineStr">
        <is>
          <t>佐々木（Claude Code）</t>
        </is>
      </c>
      <c r="P30" s="12" t="inlineStr">
        <is>
          <t>自動テスト成功</t>
        </is>
      </c>
      <c r="Q30" s="12" t="inlineStr">
        <is>
          <t>evidence/IT/IT_API結合_結果一覧_20261007.txt</t>
        </is>
      </c>
      <c r="R30" s="12" t="n"/>
      <c r="S30" s="12" t="n"/>
      <c r="T30" s="12" t="n"/>
    </row>
    <row r="31" ht="27" customHeight="1">
      <c r="A31" s="12" t="inlineStr">
        <is>
          <t>IT-AP011-E03</t>
        </is>
      </c>
      <c r="B31" s="12" t="inlineStr">
        <is>
          <t>AP-011 利用者登録 POST /api/users</t>
        </is>
      </c>
      <c r="C31" s="12" t="inlineStr">
        <is>
          <t>異常系</t>
        </is>
      </c>
      <c r="D31" s="12" t="inlineStr">
        <is>
          <t>名前が101文字だと入力エラーになる（上限超過）</t>
        </is>
      </c>
      <c r="E31" s="12" t="inlineStr">
        <is>
          <t>未登録のメールアドレス</t>
        </is>
      </c>
      <c r="F31" s="12" t="inlineStr">
        <is>
          <t>名前を101文字にして登録する</t>
        </is>
      </c>
      <c r="G31" s="12" t="inlineStr">
        <is>
          <t>400、errors[]にname「100文字以内で入力してください」（E-V-002）</t>
        </is>
      </c>
      <c r="H31" s="12" t="inlineStr">
        <is>
          <t>usersの行数は変わらない</t>
        </is>
      </c>
      <c r="I31" s="12" t="inlineStr">
        <is>
          <t>【操作の前と後に実行し、結果が同じことを確認する】
SELECT * FROM users ORDER BY id;</t>
        </is>
      </c>
      <c r="J31" s="12" t="inlineStr">
        <is>
          <t>E-V-002</t>
        </is>
      </c>
      <c r="K31" s="12" t="inlineStr">
        <is>
          <t>手動</t>
        </is>
      </c>
      <c r="L31" s="12" t="n"/>
      <c r="M31" s="12" t="inlineStr">
        <is>
          <t>OK</t>
        </is>
      </c>
      <c r="N31" s="23" t="n">
        <v>46303</v>
      </c>
      <c r="O31" s="12" t="inlineStr">
        <is>
          <t>佐々木</t>
        </is>
      </c>
      <c r="P31" s="12" t="n"/>
      <c r="Q31" s="15" t="inlineStr">
        <is>
          <t>45_テストエビデンス_API結合.xlsx／AP-011</t>
        </is>
      </c>
      <c r="R31" s="12" t="n"/>
      <c r="S31" s="12" t="n"/>
      <c r="T31" s="12" t="n"/>
    </row>
    <row r="32" ht="27" customHeight="1">
      <c r="A32" s="12" t="inlineStr">
        <is>
          <t>IT-AP011-E04</t>
        </is>
      </c>
      <c r="B32" s="12" t="inlineStr">
        <is>
          <t>AP-011 利用者登録 POST /api/users</t>
        </is>
      </c>
      <c r="C32" s="12" t="inlineStr">
        <is>
          <t>異常系</t>
        </is>
      </c>
      <c r="D32" s="12" t="inlineStr">
        <is>
          <t>名前が見えない文字だけだと入力エラーになる</t>
        </is>
      </c>
      <c r="E32" s="12" t="inlineStr">
        <is>
          <t>未登録のメールアドレス</t>
        </is>
      </c>
      <c r="F32" s="12" t="inlineStr">
        <is>
          <t>名前をゼロ幅スペース（U+200B）1文字にして登録する</t>
        </is>
      </c>
      <c r="G32" s="12" t="inlineStr">
        <is>
          <t>400、errors[]にname（E-V-002）</t>
        </is>
      </c>
      <c r="H32" s="12" t="inlineStr">
        <is>
          <t>usersの行数は変わらない</t>
        </is>
      </c>
      <c r="I32" s="12" t="inlineStr">
        <is>
          <t>【操作の前と後に実行し、結果が同じことを確認する】
SELECT * FROM users ORDER BY id;</t>
        </is>
      </c>
      <c r="J32" s="12" t="inlineStr">
        <is>
          <t>24_方式設計書 4.3</t>
        </is>
      </c>
      <c r="K32" s="12" t="inlineStr">
        <is>
          <t>手動</t>
        </is>
      </c>
      <c r="L32" s="12" t="n"/>
      <c r="M32" s="12" t="inlineStr">
        <is>
          <t>OK</t>
        </is>
      </c>
      <c r="N32" s="23" t="n">
        <v>46303</v>
      </c>
      <c r="O32" s="12" t="inlineStr">
        <is>
          <t>佐々木</t>
        </is>
      </c>
      <c r="P32" s="12" t="n"/>
      <c r="Q32" s="15" t="inlineStr">
        <is>
          <t>45_テストエビデンス_API結合.xlsx／AP-011</t>
        </is>
      </c>
      <c r="R32" s="12" t="n"/>
      <c r="S32" s="12" t="n"/>
      <c r="T32" s="12" t="n"/>
    </row>
    <row r="33" ht="40.5" customHeight="1">
      <c r="A33" s="12" t="inlineStr">
        <is>
          <t>IT-AP011-E05</t>
        </is>
      </c>
      <c r="B33" s="12" t="inlineStr">
        <is>
          <t>AP-011 利用者登録 POST /api/users</t>
        </is>
      </c>
      <c r="C33" s="12" t="inlineStr">
        <is>
          <t>異常系</t>
        </is>
      </c>
      <c r="D33" s="12" t="inlineStr">
        <is>
          <t>パスワードが8文字未満だと入力エラーになる（下限未満）</t>
        </is>
      </c>
      <c r="E33" s="12" t="inlineStr">
        <is>
          <t>未登録のメールアドレス</t>
        </is>
      </c>
      <c r="F33" s="12" t="inlineStr">
        <is>
          <t>パスワードをShort1にして登録する</t>
        </is>
      </c>
      <c r="G33" s="12" t="inlineStr">
        <is>
          <t>400、errors[]にpassword「パスワードは8文字以上72文字以下で、英字と数字をそれぞれ1文字以上含めてください」（E-V-025）</t>
        </is>
      </c>
      <c r="H33" s="12" t="inlineStr">
        <is>
          <t>usersの行数は変わらない</t>
        </is>
      </c>
      <c r="I33" s="12" t="inlineStr">
        <is>
          <t>-</t>
        </is>
      </c>
      <c r="J33" s="12" t="inlineStr">
        <is>
          <t>R-21</t>
        </is>
      </c>
      <c r="K33" s="12" t="inlineStr">
        <is>
          <t>自動</t>
        </is>
      </c>
      <c r="L33" s="12" t="inlineStr">
        <is>
          <t>ap011_8文字未満のパスワードでは登録できない</t>
        </is>
      </c>
      <c r="M33" s="12" t="inlineStr">
        <is>
          <t>OK</t>
        </is>
      </c>
      <c r="N33" s="23" t="n">
        <v>46302</v>
      </c>
      <c r="O33" s="12" t="inlineStr">
        <is>
          <t>佐々木（Claude Code）</t>
        </is>
      </c>
      <c r="P33" s="12" t="inlineStr">
        <is>
          <t>自動テスト成功</t>
        </is>
      </c>
      <c r="Q33" s="12" t="inlineStr">
        <is>
          <t>evidence/IT/IT_API結合_結果一覧_20261007.txt</t>
        </is>
      </c>
      <c r="R33" s="12" t="n"/>
      <c r="S33" s="12" t="n"/>
      <c r="T33" s="12" t="n"/>
    </row>
    <row r="34" ht="40.5" customHeight="1">
      <c r="A34" s="12" t="inlineStr">
        <is>
          <t>IT-AP011-E06</t>
        </is>
      </c>
      <c r="B34" s="12" t="inlineStr">
        <is>
          <t>AP-011 利用者登録 POST /api/users</t>
        </is>
      </c>
      <c r="C34" s="12" t="inlineStr">
        <is>
          <t>異常系</t>
        </is>
      </c>
      <c r="D34" s="12" t="inlineStr">
        <is>
          <t>パスワードが英字だけだと入力エラーになる</t>
        </is>
      </c>
      <c r="E34" s="12" t="inlineStr">
        <is>
          <t>未登録のメールアドレス</t>
        </is>
      </c>
      <c r="F34" s="12" t="inlineStr">
        <is>
          <t>パスワードをonlylettersにして登録する</t>
        </is>
      </c>
      <c r="G34" s="12" t="inlineStr">
        <is>
          <t>400、errors[]にpassword「パスワードは8文字以上72文字以下で、英字と数字をそれぞれ1文字以上含めてください」（E-V-025）</t>
        </is>
      </c>
      <c r="H34" s="12" t="inlineStr">
        <is>
          <t>usersの行数は変わらない</t>
        </is>
      </c>
      <c r="I34" s="12" t="inlineStr">
        <is>
          <t>-</t>
        </is>
      </c>
      <c r="J34" s="12" t="inlineStr">
        <is>
          <t>R-21</t>
        </is>
      </c>
      <c r="K34" s="12" t="inlineStr">
        <is>
          <t>自動</t>
        </is>
      </c>
      <c r="L34" s="12" t="inlineStr">
        <is>
          <t>ap011_英字だけのパスワードでは登録できない</t>
        </is>
      </c>
      <c r="M34" s="12" t="inlineStr">
        <is>
          <t>OK</t>
        </is>
      </c>
      <c r="N34" s="23" t="n">
        <v>46302</v>
      </c>
      <c r="O34" s="12" t="inlineStr">
        <is>
          <t>佐々木（Claude Code）</t>
        </is>
      </c>
      <c r="P34" s="12" t="inlineStr">
        <is>
          <t>自動テスト成功</t>
        </is>
      </c>
      <c r="Q34" s="12" t="inlineStr">
        <is>
          <t>evidence/IT/IT_API結合_結果一覧_20261007.txt</t>
        </is>
      </c>
      <c r="R34" s="12" t="n"/>
      <c r="S34" s="12" t="n"/>
      <c r="T34" s="12" t="n"/>
    </row>
    <row r="35" ht="40.5" customHeight="1">
      <c r="A35" s="12" t="inlineStr">
        <is>
          <t>IT-AP011-E07</t>
        </is>
      </c>
      <c r="B35" s="12" t="inlineStr">
        <is>
          <t>AP-011 利用者登録 POST /api/users</t>
        </is>
      </c>
      <c r="C35" s="12" t="inlineStr">
        <is>
          <t>異常系</t>
        </is>
      </c>
      <c r="D35" s="12" t="inlineStr">
        <is>
          <t>パスワードが数字だけだと入力エラーになる</t>
        </is>
      </c>
      <c r="E35" s="12" t="inlineStr">
        <is>
          <t>未登録のメールアドレス</t>
        </is>
      </c>
      <c r="F35" s="12" t="inlineStr">
        <is>
          <t>パスワードを12345678にして登録する</t>
        </is>
      </c>
      <c r="G35" s="12" t="inlineStr">
        <is>
          <t>400、errors[]にpassword「パスワードは8文字以上72文字以下で、英字と数字をそれぞれ1文字以上含めてください」（E-V-025）</t>
        </is>
      </c>
      <c r="H35" s="12" t="inlineStr">
        <is>
          <t>usersの行数は変わらない</t>
        </is>
      </c>
      <c r="I35" s="12" t="inlineStr">
        <is>
          <t>-</t>
        </is>
      </c>
      <c r="J35" s="12" t="inlineStr">
        <is>
          <t>R-21</t>
        </is>
      </c>
      <c r="K35" s="12" t="inlineStr">
        <is>
          <t>自動</t>
        </is>
      </c>
      <c r="L35" s="12" t="inlineStr">
        <is>
          <t>ap011_数字だけのパスワードでは登録できない</t>
        </is>
      </c>
      <c r="M35" s="12" t="inlineStr">
        <is>
          <t>OK</t>
        </is>
      </c>
      <c r="N35" s="23" t="n">
        <v>46302</v>
      </c>
      <c r="O35" s="12" t="inlineStr">
        <is>
          <t>佐々木（Claude Code）</t>
        </is>
      </c>
      <c r="P35" s="12" t="inlineStr">
        <is>
          <t>自動テスト成功</t>
        </is>
      </c>
      <c r="Q35" s="12" t="inlineStr">
        <is>
          <t>evidence/IT/IT_API結合_結果一覧_20261007.txt</t>
        </is>
      </c>
      <c r="R35" s="12" t="n"/>
      <c r="S35" s="12" t="n"/>
      <c r="T35" s="12" t="n"/>
    </row>
    <row r="36" ht="40.5" customHeight="1">
      <c r="A36" s="12" t="inlineStr">
        <is>
          <t>IT-AP011-E08</t>
        </is>
      </c>
      <c r="B36" s="12" t="inlineStr">
        <is>
          <t>AP-011 利用者登録 POST /api/users</t>
        </is>
      </c>
      <c r="C36" s="12" t="inlineStr">
        <is>
          <t>異常系</t>
        </is>
      </c>
      <c r="D36" s="12" t="inlineStr">
        <is>
          <t>パスワードが73文字だと入力エラーになる（上限超過）</t>
        </is>
      </c>
      <c r="E36" s="12" t="inlineStr">
        <is>
          <t>未登録のメールアドレス</t>
        </is>
      </c>
      <c r="F36" s="12" t="inlineStr">
        <is>
          <t>英字と数字を含む73文字のパスワードで登録する</t>
        </is>
      </c>
      <c r="G36" s="12" t="inlineStr">
        <is>
          <t>400、errors[]にpassword「パスワードは8文字以上72文字以下で、英字と数字をそれぞれ1文字以上含めてください」（E-V-025）</t>
        </is>
      </c>
      <c r="H36" s="12" t="inlineStr">
        <is>
          <t>usersの行数は変わらない</t>
        </is>
      </c>
      <c r="I36" s="12" t="inlineStr">
        <is>
          <t>【操作の前と後に実行し、結果が同じことを確認する】
SELECT * FROM users ORDER BY id;</t>
        </is>
      </c>
      <c r="J36" s="12" t="inlineStr">
        <is>
          <t>R-21</t>
        </is>
      </c>
      <c r="K36" s="12" t="inlineStr">
        <is>
          <t>手動</t>
        </is>
      </c>
      <c r="L36" s="12" t="n"/>
      <c r="M36" s="12" t="inlineStr">
        <is>
          <t>OK</t>
        </is>
      </c>
      <c r="N36" s="23" t="n">
        <v>46303</v>
      </c>
      <c r="O36" s="12" t="inlineStr">
        <is>
          <t>佐々木</t>
        </is>
      </c>
      <c r="P36" s="12" t="n"/>
      <c r="Q36" s="15" t="inlineStr">
        <is>
          <t>45_テストエビデンス_API結合.xlsx／AP-011</t>
        </is>
      </c>
      <c r="R36" s="12" t="n"/>
      <c r="S36" s="12" t="n"/>
      <c r="T36" s="12" t="n"/>
    </row>
    <row r="37" ht="40.5" customHeight="1">
      <c r="A37" s="12" t="inlineStr">
        <is>
          <t>IT-AP011-E09</t>
        </is>
      </c>
      <c r="B37" s="12" t="inlineStr">
        <is>
          <t>AP-011 利用者登録 POST /api/users</t>
        </is>
      </c>
      <c r="C37" s="12" t="inlineStr">
        <is>
          <t>異常系</t>
        </is>
      </c>
      <c r="D37" s="12" t="inlineStr">
        <is>
          <t>パスワードが未入力だと入力エラーになる</t>
        </is>
      </c>
      <c r="E37" s="12" t="inlineStr">
        <is>
          <t>未登録のメールアドレス</t>
        </is>
      </c>
      <c r="F37" s="12" t="inlineStr">
        <is>
          <t>passwordを指定せずに登録する</t>
        </is>
      </c>
      <c r="G37" s="12" t="inlineStr">
        <is>
          <t>400、errors[]にpassword「パスワードは8文字以上72文字以下で、英字と数字をそれぞれ1文字以上含めてください」（E-V-025）</t>
        </is>
      </c>
      <c r="H37" s="12" t="inlineStr">
        <is>
          <t>usersの行数は変わらない</t>
        </is>
      </c>
      <c r="I37" s="12" t="inlineStr">
        <is>
          <t>【操作の前と後に実行し、結果が同じことを確認する】
SELECT * FROM users ORDER BY id;</t>
        </is>
      </c>
      <c r="J37" s="12" t="inlineStr">
        <is>
          <t>E-V-025</t>
        </is>
      </c>
      <c r="K37" s="12" t="inlineStr">
        <is>
          <t>手動</t>
        </is>
      </c>
      <c r="L37" s="12" t="n"/>
      <c r="M37" s="12" t="inlineStr">
        <is>
          <t>OK</t>
        </is>
      </c>
      <c r="N37" s="23" t="n">
        <v>46303</v>
      </c>
      <c r="O37" s="12" t="inlineStr">
        <is>
          <t>佐々木</t>
        </is>
      </c>
      <c r="P37" s="12" t="n"/>
      <c r="Q37" s="15" t="inlineStr">
        <is>
          <t>45_テストエビデンス_API結合.xlsx／AP-011</t>
        </is>
      </c>
      <c r="R37" s="12" t="n"/>
      <c r="S37" s="12" t="n"/>
      <c r="T37" s="12" t="n"/>
    </row>
    <row r="38" ht="40.5" customHeight="1">
      <c r="A38" s="12" t="inlineStr">
        <is>
          <t>IT-AP012-N01</t>
        </is>
      </c>
      <c r="B38" s="12" t="inlineStr">
        <is>
          <t>AP-012 パスワード変更 PUT /api/my/password</t>
        </is>
      </c>
      <c r="C38" s="12" t="inlineStr">
        <is>
          <t>正常系</t>
        </is>
      </c>
      <c r="D38" s="12" t="inlineStr">
        <is>
          <t>現在のパスワードが正しければ変更できる</t>
        </is>
      </c>
      <c r="E38" s="12" t="inlineStr">
        <is>
          <t>TD-00</t>
        </is>
      </c>
      <c r="F38" s="12" t="inlineStr">
        <is>
          <t>一般ユーザー（ID=1）で{"currentPassword":"Test1234","newPassword":"NewPass5678"}</t>
        </is>
      </c>
      <c r="G38" s="12" t="inlineStr">
        <is>
          <t>204</t>
        </is>
      </c>
      <c r="H38" s="12" t="inlineStr">
        <is>
          <t>ID=1のusers.password_hashが変更前と異なる値になる</t>
        </is>
      </c>
      <c r="I38" s="12" t="inlineStr">
        <is>
          <t>-</t>
        </is>
      </c>
      <c r="J38" s="12" t="inlineStr">
        <is>
          <t>AP-012、R-23</t>
        </is>
      </c>
      <c r="K38" s="12" t="inlineStr">
        <is>
          <t>自動</t>
        </is>
      </c>
      <c r="L38" s="12" t="inlineStr">
        <is>
          <t>ap012_現在のパスワードが正しければ変更できる</t>
        </is>
      </c>
      <c r="M38" s="12" t="inlineStr">
        <is>
          <t>OK</t>
        </is>
      </c>
      <c r="N38" s="23" t="n">
        <v>46302</v>
      </c>
      <c r="O38" s="12" t="inlineStr">
        <is>
          <t>佐々木（Claude Code）</t>
        </is>
      </c>
      <c r="P38" s="12" t="inlineStr">
        <is>
          <t>自動テスト成功</t>
        </is>
      </c>
      <c r="Q38" s="12" t="inlineStr">
        <is>
          <t>evidence/IT/IT_API結合_結果一覧_20261007.txt</t>
        </is>
      </c>
      <c r="R38" s="12" t="n"/>
      <c r="S38" s="12" t="n"/>
      <c r="T38" s="12" t="n"/>
    </row>
    <row r="39" ht="27" customHeight="1">
      <c r="A39" s="12" t="inlineStr">
        <is>
          <t>IT-AP012-N02</t>
        </is>
      </c>
      <c r="B39" s="12" t="inlineStr">
        <is>
          <t>AP-012 パスワード変更 PUT /api/my/password</t>
        </is>
      </c>
      <c r="C39" s="12" t="inlineStr">
        <is>
          <t>正常系</t>
        </is>
      </c>
      <c r="D39" s="12" t="inlineStr">
        <is>
          <t>変更後は新しいパスワードでログインできる</t>
        </is>
      </c>
      <c r="E39" s="12" t="inlineStr">
        <is>
          <t>上記の変更を行った後</t>
        </is>
      </c>
      <c r="F39" s="12" t="inlineStr">
        <is>
          <t>AP-010にgeneral@example.comとNewPass5678を送る</t>
        </is>
      </c>
      <c r="G39" s="12" t="inlineStr">
        <is>
          <t>200</t>
        </is>
      </c>
      <c r="H39" s="12" t="inlineStr">
        <is>
          <t>-（参照のみ）</t>
        </is>
      </c>
      <c r="I39" s="12" t="inlineStr">
        <is>
          <t>-</t>
        </is>
      </c>
      <c r="J39" s="12" t="inlineStr">
        <is>
          <t>R-23</t>
        </is>
      </c>
      <c r="K39" s="12" t="inlineStr">
        <is>
          <t>自動</t>
        </is>
      </c>
      <c r="L39" s="12" t="inlineStr">
        <is>
          <t>ap012_変更後は新しいパスワードでログインできる</t>
        </is>
      </c>
      <c r="M39" s="12" t="inlineStr">
        <is>
          <t>OK</t>
        </is>
      </c>
      <c r="N39" s="23" t="n">
        <v>46302</v>
      </c>
      <c r="O39" s="12" t="inlineStr">
        <is>
          <t>佐々木（Claude Code）</t>
        </is>
      </c>
      <c r="P39" s="12" t="inlineStr">
        <is>
          <t>自動テスト成功</t>
        </is>
      </c>
      <c r="Q39" s="12" t="inlineStr">
        <is>
          <t>evidence/IT/IT_API結合_結果一覧_20261007.txt</t>
        </is>
      </c>
      <c r="R39" s="12" t="n"/>
      <c r="S39" s="12" t="n"/>
      <c r="T39" s="12" t="n"/>
    </row>
    <row r="40" ht="40.5" customHeight="1">
      <c r="A40" s="12" t="inlineStr">
        <is>
          <t>IT-AP012-E01</t>
        </is>
      </c>
      <c r="B40" s="12" t="inlineStr">
        <is>
          <t>AP-012 パスワード変更 PUT /api/my/password</t>
        </is>
      </c>
      <c r="C40" s="12" t="inlineStr">
        <is>
          <t>異常系</t>
        </is>
      </c>
      <c r="D40" s="12" t="inlineStr">
        <is>
          <t>変更後は古いパスワードでログインできない</t>
        </is>
      </c>
      <c r="E40" s="12" t="inlineStr">
        <is>
          <t>パスワードをNewPass5678に変更した後</t>
        </is>
      </c>
      <c r="F40" s="12" t="inlineStr">
        <is>
          <t>AP-010にgeneral@example.comとTest1234を送る</t>
        </is>
      </c>
      <c r="G40" s="12" t="inlineStr">
        <is>
          <t>401「ログインできませんでした。入力内容をご確認のうえ、初めてご利用の場合は新規登録してください」（E-A-006）</t>
        </is>
      </c>
      <c r="H40" s="12" t="inlineStr">
        <is>
          <t>-（参照のみ）</t>
        </is>
      </c>
      <c r="I40" s="12" t="inlineStr">
        <is>
          <t>-</t>
        </is>
      </c>
      <c r="J40" s="12" t="inlineStr">
        <is>
          <t>R-23</t>
        </is>
      </c>
      <c r="K40" s="12" t="inlineStr">
        <is>
          <t>自動</t>
        </is>
      </c>
      <c r="L40" s="12" t="inlineStr">
        <is>
          <t>ap012_変更後は古いパスワードでログインできない</t>
        </is>
      </c>
      <c r="M40" s="12" t="inlineStr">
        <is>
          <t>OK</t>
        </is>
      </c>
      <c r="N40" s="23" t="n">
        <v>46302</v>
      </c>
      <c r="O40" s="12" t="inlineStr">
        <is>
          <t>佐々木（Claude Code）</t>
        </is>
      </c>
      <c r="P40" s="12" t="inlineStr">
        <is>
          <t>自動テスト成功</t>
        </is>
      </c>
      <c r="Q40" s="12" t="inlineStr">
        <is>
          <t>evidence/IT/IT_API結合_結果一覧_20261007.txt</t>
        </is>
      </c>
      <c r="R40" s="12" t="n"/>
      <c r="S40" s="12" t="n"/>
      <c r="T40" s="12" t="n"/>
    </row>
    <row r="41" ht="40.5" customHeight="1">
      <c r="A41" s="12" t="inlineStr">
        <is>
          <t>IT-AP012-E02</t>
        </is>
      </c>
      <c r="B41" s="12" t="inlineStr">
        <is>
          <t>AP-012 パスワード変更 PUT /api/my/password</t>
        </is>
      </c>
      <c r="C41" s="12" t="inlineStr">
        <is>
          <t>異常系</t>
        </is>
      </c>
      <c r="D41" s="12" t="inlineStr">
        <is>
          <t>現在のパスワードが一致しないと変更できない</t>
        </is>
      </c>
      <c r="E41" s="12" t="inlineStr">
        <is>
          <t>TD-00</t>
        </is>
      </c>
      <c r="F41" s="12" t="inlineStr">
        <is>
          <t>一般ユーザー（ID=1）で{"currentPassword":"Wrong1234","newPassword":"NewPass5678"}</t>
        </is>
      </c>
      <c r="G41" s="12" t="inlineStr">
        <is>
          <t>400「現在のパスワードが正しくありません」（E-B-023）</t>
        </is>
      </c>
      <c r="H41" s="12" t="inlineStr">
        <is>
          <t>ID=1のusers.password_hashは変更されない</t>
        </is>
      </c>
      <c r="I41" s="12" t="inlineStr">
        <is>
          <t>-</t>
        </is>
      </c>
      <c r="J41" s="12" t="inlineStr">
        <is>
          <t>R-23、C-07</t>
        </is>
      </c>
      <c r="K41" s="12" t="inlineStr">
        <is>
          <t>自動</t>
        </is>
      </c>
      <c r="L41" s="12" t="inlineStr">
        <is>
          <t>ap012_現在のパスワードが一致しなければ変更できない</t>
        </is>
      </c>
      <c r="M41" s="12" t="inlineStr">
        <is>
          <t>OK</t>
        </is>
      </c>
      <c r="N41" s="23" t="n">
        <v>46302</v>
      </c>
      <c r="O41" s="12" t="inlineStr">
        <is>
          <t>佐々木（Claude Code）</t>
        </is>
      </c>
      <c r="P41" s="12" t="inlineStr">
        <is>
          <t>自動テスト成功</t>
        </is>
      </c>
      <c r="Q41" s="12" t="inlineStr">
        <is>
          <t>evidence/IT/IT_API結合_結果一覧_20261007.txt</t>
        </is>
      </c>
      <c r="R41" s="12" t="n"/>
      <c r="S41" s="12" t="n"/>
      <c r="T41" s="12" t="n"/>
    </row>
    <row r="42" ht="27" customHeight="1">
      <c r="A42" s="12" t="inlineStr">
        <is>
          <t>IT-AP012-E03</t>
        </is>
      </c>
      <c r="B42" s="12" t="inlineStr">
        <is>
          <t>AP-012 パスワード変更 PUT /api/my/password</t>
        </is>
      </c>
      <c r="C42" s="12" t="inlineStr">
        <is>
          <t>異常系</t>
        </is>
      </c>
      <c r="D42" s="12" t="inlineStr">
        <is>
          <t>新しいパスワードが条件を満たさないと入力エラーになる</t>
        </is>
      </c>
      <c r="E42" s="12" t="inlineStr">
        <is>
          <t>TD-00</t>
        </is>
      </c>
      <c r="F42" s="12" t="inlineStr">
        <is>
          <t>一般ユーザー（ID=1）でnewPasswordをShort1にして送る</t>
        </is>
      </c>
      <c r="G42" s="12" t="inlineStr">
        <is>
          <t>400、errors[]にnewPassword（E-V-027）</t>
        </is>
      </c>
      <c r="H42" s="12" t="inlineStr">
        <is>
          <t>ID=1のusers.password_hashは変更されない</t>
        </is>
      </c>
      <c r="I42" s="12" t="inlineStr">
        <is>
          <t>【操作の前と後に実行し、結果が同じことを確認する】
SELECT * FROM users ORDER BY id;</t>
        </is>
      </c>
      <c r="J42" s="12" t="inlineStr">
        <is>
          <t>R-21</t>
        </is>
      </c>
      <c r="K42" s="12" t="inlineStr">
        <is>
          <t>手動</t>
        </is>
      </c>
      <c r="L42" s="12" t="n"/>
      <c r="M42" s="12" t="inlineStr">
        <is>
          <t>OK</t>
        </is>
      </c>
      <c r="N42" s="23" t="n">
        <v>46303</v>
      </c>
      <c r="O42" s="12" t="inlineStr">
        <is>
          <t>佐々木</t>
        </is>
      </c>
      <c r="P42" s="12" t="n"/>
      <c r="Q42" s="15" t="inlineStr">
        <is>
          <t>45_テストエビデンス_API結合.xlsx／AP-012</t>
        </is>
      </c>
      <c r="R42" s="12" t="n"/>
      <c r="S42" s="12" t="n"/>
      <c r="T42" s="12" t="n"/>
    </row>
    <row r="43" ht="27" customHeight="1">
      <c r="A43" s="12" t="inlineStr">
        <is>
          <t>IT-AP012-E04</t>
        </is>
      </c>
      <c r="B43" s="12" t="inlineStr">
        <is>
          <t>AP-012 パスワード変更 PUT /api/my/password</t>
        </is>
      </c>
      <c r="C43" s="12" t="inlineStr">
        <is>
          <t>異常系</t>
        </is>
      </c>
      <c r="D43" s="12" t="inlineStr">
        <is>
          <t>現在のパスワードが未入力だと入力エラーになる</t>
        </is>
      </c>
      <c r="E43" s="12" t="inlineStr">
        <is>
          <t>TD-00</t>
        </is>
      </c>
      <c r="F43" s="12" t="inlineStr">
        <is>
          <t>一般ユーザー（ID=1）でcurrentPasswordを指定せずに送る</t>
        </is>
      </c>
      <c r="G43" s="12" t="inlineStr">
        <is>
          <t>400、errors[]にcurrentPassword「現在のパスワードを入力してください」（E-V-026）</t>
        </is>
      </c>
      <c r="H43" s="12" t="inlineStr">
        <is>
          <t>ID=1のusers.password_hashは変更されない</t>
        </is>
      </c>
      <c r="I43" s="12" t="inlineStr">
        <is>
          <t>【操作の前と後に実行し、結果が同じことを確認する】
SELECT * FROM users ORDER BY id;</t>
        </is>
      </c>
      <c r="J43" s="12" t="inlineStr">
        <is>
          <t>E-V-026</t>
        </is>
      </c>
      <c r="K43" s="12" t="inlineStr">
        <is>
          <t>手動</t>
        </is>
      </c>
      <c r="L43" s="12" t="n"/>
      <c r="M43" s="12" t="inlineStr">
        <is>
          <t>OK</t>
        </is>
      </c>
      <c r="N43" s="23" t="n">
        <v>46303</v>
      </c>
      <c r="O43" s="12" t="inlineStr">
        <is>
          <t>佐々木</t>
        </is>
      </c>
      <c r="P43" s="12" t="n"/>
      <c r="Q43" s="15" t="inlineStr">
        <is>
          <t>45_テストエビデンス_API結合.xlsx／AP-012</t>
        </is>
      </c>
      <c r="R43" s="12" t="n"/>
      <c r="S43" s="12" t="n"/>
      <c r="T43" s="12" t="n"/>
    </row>
    <row r="44" ht="27" customHeight="1">
      <c r="A44" s="12" t="inlineStr">
        <is>
          <t>IT-AP012-E05</t>
        </is>
      </c>
      <c r="B44" s="12" t="inlineStr">
        <is>
          <t>AP-012 パスワード変更 PUT /api/my/password</t>
        </is>
      </c>
      <c r="C44" s="12" t="inlineStr">
        <is>
          <t>異常系</t>
        </is>
      </c>
      <c r="D44" s="12" t="inlineStr">
        <is>
          <t>未ログインでは変更できない</t>
        </is>
      </c>
      <c r="E44" s="12" t="inlineStr">
        <is>
          <t>-</t>
        </is>
      </c>
      <c r="F44" s="12" t="inlineStr">
        <is>
          <t>X-User-Idなしで送る</t>
        </is>
      </c>
      <c r="G44" s="12" t="inlineStr">
        <is>
          <t>401「認証が必要です」（E-A-001）</t>
        </is>
      </c>
      <c r="H44" s="12" t="inlineStr">
        <is>
          <t>usersは変更されない</t>
        </is>
      </c>
      <c r="I44" s="12" t="inlineStr">
        <is>
          <t>-</t>
        </is>
      </c>
      <c r="J44" s="12" t="inlineStr">
        <is>
          <t>23_API基本設計書 2.1</t>
        </is>
      </c>
      <c r="K44" s="12" t="inlineStr">
        <is>
          <t>自動</t>
        </is>
      </c>
      <c r="L44" s="12" t="inlineStr">
        <is>
          <t>ap012_未ログインではパスワードを変更できない</t>
        </is>
      </c>
      <c r="M44" s="12" t="inlineStr">
        <is>
          <t>OK</t>
        </is>
      </c>
      <c r="N44" s="23" t="n">
        <v>46302</v>
      </c>
      <c r="O44" s="12" t="inlineStr">
        <is>
          <t>佐々木（Claude Code）</t>
        </is>
      </c>
      <c r="P44" s="12" t="inlineStr">
        <is>
          <t>自動テスト成功</t>
        </is>
      </c>
      <c r="Q44" s="12" t="inlineStr">
        <is>
          <t>evidence/IT/IT_API結合_結果一覧_20261007.txt</t>
        </is>
      </c>
      <c r="R44" s="12" t="n"/>
      <c r="S44" s="12" t="n"/>
      <c r="T44" s="12" t="n"/>
    </row>
    <row r="45" ht="40.5" customHeight="1">
      <c r="A45" s="12" t="inlineStr">
        <is>
          <t>IT-AP013-N01</t>
        </is>
      </c>
      <c r="B45" s="12" t="inlineStr">
        <is>
          <t>AP-013 利用者の退会（匿名化） DELETE /api/users/{id}</t>
        </is>
      </c>
      <c r="C45" s="12" t="inlineStr">
        <is>
          <t>正常系</t>
        </is>
      </c>
      <c r="D45" s="12" t="inlineStr">
        <is>
          <t>本人は自分を退会できる</t>
        </is>
      </c>
      <c r="E45" s="12" t="inlineStr">
        <is>
          <t>TD-00</t>
        </is>
      </c>
      <c r="F45" s="12" t="inlineStr">
        <is>
          <t>一般ユーザー（ID=1）でDELETE /api/users/1</t>
        </is>
      </c>
      <c r="G45" s="12" t="inlineStr">
        <is>
          <t>200、name=「退会済み利用者」、email=withdrawn-1@invalid.example、anonymizedAtに日時</t>
        </is>
      </c>
      <c r="H45" s="12" t="inlineStr">
        <is>
          <t>ID=1のusersの行は残り、name・emailが置き換わる。password_hashがNULL、anonymized_atに日時が入る</t>
        </is>
      </c>
      <c r="I45" s="12" t="inlineStr">
        <is>
          <t>-</t>
        </is>
      </c>
      <c r="J45" s="12" t="inlineStr">
        <is>
          <t>AP-013、R-24</t>
        </is>
      </c>
      <c r="K45" s="12" t="inlineStr">
        <is>
          <t>自動</t>
        </is>
      </c>
      <c r="L45" s="12" t="inlineStr">
        <is>
          <t>ap013_本人は自分のアカウントを退会できる</t>
        </is>
      </c>
      <c r="M45" s="12" t="inlineStr">
        <is>
          <t>OK</t>
        </is>
      </c>
      <c r="N45" s="23" t="n">
        <v>46302</v>
      </c>
      <c r="O45" s="12" t="inlineStr">
        <is>
          <t>佐々木（Claude Code）</t>
        </is>
      </c>
      <c r="P45" s="12" t="inlineStr">
        <is>
          <t>自動テスト成功</t>
        </is>
      </c>
      <c r="Q45" s="12" t="inlineStr">
        <is>
          <t>evidence/IT/IT_API結合_結果一覧_20261007.txt</t>
        </is>
      </c>
      <c r="R45" s="12" t="n"/>
      <c r="S45" s="12" t="n"/>
      <c r="T45" s="12" t="n"/>
    </row>
    <row r="46" ht="40.5" customHeight="1">
      <c r="A46" s="12" t="inlineStr">
        <is>
          <t>IT-AP013-N02</t>
        </is>
      </c>
      <c r="B46" s="12" t="inlineStr">
        <is>
          <t>AP-013 利用者の退会（匿名化） DELETE /api/users/{id}</t>
        </is>
      </c>
      <c r="C46" s="12" t="inlineStr">
        <is>
          <t>正常系</t>
        </is>
      </c>
      <c r="D46" s="12" t="inlineStr">
        <is>
          <t>管理者は一般利用者を退会させられる</t>
        </is>
      </c>
      <c r="E46" s="12" t="inlineStr">
        <is>
          <t>TD-00</t>
        </is>
      </c>
      <c r="F46" s="12" t="inlineStr">
        <is>
          <t>管理者（ID=2）でDELETE /api/users/1</t>
        </is>
      </c>
      <c r="G46" s="12" t="inlineStr">
        <is>
          <t>200、anonymizedAtに日時</t>
        </is>
      </c>
      <c r="H46" s="12" t="inlineStr">
        <is>
          <t>ID=1のusers.anonymized_atに日時が入る</t>
        </is>
      </c>
      <c r="I46" s="12" t="inlineStr">
        <is>
          <t>-</t>
        </is>
      </c>
      <c r="J46" s="12" t="inlineStr">
        <is>
          <t>AP-013</t>
        </is>
      </c>
      <c r="K46" s="12" t="inlineStr">
        <is>
          <t>自動</t>
        </is>
      </c>
      <c r="L46" s="12" t="inlineStr">
        <is>
          <t>ap013_管理者は一般利用者を退会させられる</t>
        </is>
      </c>
      <c r="M46" s="12" t="inlineStr">
        <is>
          <t>OK</t>
        </is>
      </c>
      <c r="N46" s="23" t="n">
        <v>46302</v>
      </c>
      <c r="O46" s="12" t="inlineStr">
        <is>
          <t>佐々木（Claude Code）</t>
        </is>
      </c>
      <c r="P46" s="12" t="inlineStr">
        <is>
          <t>自動テスト成功</t>
        </is>
      </c>
      <c r="Q46" s="12" t="inlineStr">
        <is>
          <t>evidence/IT/IT_API結合_結果一覧_20261007.txt</t>
        </is>
      </c>
      <c r="R46" s="12" t="n"/>
      <c r="S46" s="12" t="n"/>
      <c r="T46" s="12" t="n"/>
    </row>
    <row r="47" ht="40.5" customHeight="1">
      <c r="A47" s="12" t="inlineStr">
        <is>
          <t>IT-AP013-N03</t>
        </is>
      </c>
      <c r="B47" s="12" t="inlineStr">
        <is>
          <t>AP-013 利用者の退会（匿名化） DELETE /api/users/{id}</t>
        </is>
      </c>
      <c r="C47" s="12" t="inlineStr">
        <is>
          <t>正常系</t>
        </is>
      </c>
      <c r="D47" s="12" t="inlineStr">
        <is>
          <t>退会しても申込の履歴は残る</t>
        </is>
      </c>
      <c r="E47" s="12" t="inlineStr">
        <is>
          <t>一般ユーザーが申込を1件持つ</t>
        </is>
      </c>
      <c r="F47" s="12" t="inlineStr">
        <is>
          <t>一般ユーザー（ID=1）でDELETE /api/users/1</t>
        </is>
      </c>
      <c r="G47" s="12" t="inlineStr">
        <is>
          <t>200</t>
        </is>
      </c>
      <c r="H47" s="12" t="inlineStr">
        <is>
          <t>applicationsのuser_id=1の行は削除されず、内容も変わらない</t>
        </is>
      </c>
      <c r="I47" s="12" t="inlineStr">
        <is>
          <t>【操作の前と後に実行し、結果が同じことを確認する】
SELECT * FROM applications ORDER BY id;</t>
        </is>
      </c>
      <c r="J47" s="12" t="inlineStr">
        <is>
          <t>22_テーブル定義書 6章</t>
        </is>
      </c>
      <c r="K47" s="12" t="inlineStr">
        <is>
          <t>手動</t>
        </is>
      </c>
      <c r="L47" s="12" t="n"/>
      <c r="M47" s="12" t="inlineStr">
        <is>
          <t>OK</t>
        </is>
      </c>
      <c r="N47" s="23" t="n">
        <v>46304</v>
      </c>
      <c r="O47" s="12" t="inlineStr">
        <is>
          <t>佐々木</t>
        </is>
      </c>
      <c r="P47" s="12" t="n"/>
      <c r="Q47" s="15" t="inlineStr">
        <is>
          <t>45_テストエビデンス_API結合.xlsx／AP-013</t>
        </is>
      </c>
      <c r="R47" s="12" t="n"/>
      <c r="S47" s="12" t="n"/>
      <c r="T47" s="12" t="n"/>
    </row>
    <row r="48" ht="40.5" customHeight="1">
      <c r="A48" s="12" t="inlineStr">
        <is>
          <t>IT-AP013-E01</t>
        </is>
      </c>
      <c r="B48" s="12" t="inlineStr">
        <is>
          <t>AP-013 利用者の退会（匿名化） DELETE /api/users/{id}</t>
        </is>
      </c>
      <c r="C48" s="12" t="inlineStr">
        <is>
          <t>異常系</t>
        </is>
      </c>
      <c r="D48" s="12" t="inlineStr">
        <is>
          <t>一般利用者は他人を退会させられない</t>
        </is>
      </c>
      <c r="E48" s="12" t="inlineStr">
        <is>
          <t>TD-00、TD-05</t>
        </is>
      </c>
      <c r="F48" s="12" t="inlineStr">
        <is>
          <t>一般ユーザー（ID=1）でTD-05の利用者を指定する</t>
        </is>
      </c>
      <c r="G48" s="12" t="inlineStr">
        <is>
          <t>403「権限がありません」（E-A-007）</t>
        </is>
      </c>
      <c r="H48" s="12" t="inlineStr">
        <is>
          <t>対象のusersの行は変更されない</t>
        </is>
      </c>
      <c r="I48" s="12" t="inlineStr">
        <is>
          <t>-</t>
        </is>
      </c>
      <c r="J48" s="12" t="inlineStr">
        <is>
          <t>R-20</t>
        </is>
      </c>
      <c r="K48" s="12" t="inlineStr">
        <is>
          <t>自動</t>
        </is>
      </c>
      <c r="L48" s="12" t="inlineStr">
        <is>
          <t>ap013_一般利用者は他人を退会させられない</t>
        </is>
      </c>
      <c r="M48" s="12" t="inlineStr">
        <is>
          <t>OK</t>
        </is>
      </c>
      <c r="N48" s="23" t="n">
        <v>46302</v>
      </c>
      <c r="O48" s="12" t="inlineStr">
        <is>
          <t>佐々木（Claude Code）</t>
        </is>
      </c>
      <c r="P48" s="12" t="inlineStr">
        <is>
          <t>自動テスト成功</t>
        </is>
      </c>
      <c r="Q48" s="12" t="inlineStr">
        <is>
          <t>evidence/IT/IT_API結合_結果一覧_20261007.txt</t>
        </is>
      </c>
      <c r="R48" s="12" t="n"/>
      <c r="S48" s="12" t="n"/>
      <c r="T48" s="12" t="n"/>
    </row>
    <row r="49" ht="40.5" customHeight="1">
      <c r="A49" s="12" t="inlineStr">
        <is>
          <t>IT-AP013-E02</t>
        </is>
      </c>
      <c r="B49" s="12" t="inlineStr">
        <is>
          <t>AP-013 利用者の退会（匿名化） DELETE /api/users/{id}</t>
        </is>
      </c>
      <c r="C49" s="12" t="inlineStr">
        <is>
          <t>異常系</t>
        </is>
      </c>
      <c r="D49" s="12" t="inlineStr">
        <is>
          <t>管理者は退会できない</t>
        </is>
      </c>
      <c r="E49" s="12" t="inlineStr">
        <is>
          <t>TD-00</t>
        </is>
      </c>
      <c r="F49" s="12" t="inlineStr">
        <is>
          <t>管理者（ID=2）でDELETE /api/users/2</t>
        </is>
      </c>
      <c r="G49" s="12" t="inlineStr">
        <is>
          <t>400「管理者は退会できません」（E-B-021）</t>
        </is>
      </c>
      <c r="H49" s="12" t="inlineStr">
        <is>
          <t>ID=2のusersの行は変更されない</t>
        </is>
      </c>
      <c r="I49" s="12" t="inlineStr">
        <is>
          <t>-</t>
        </is>
      </c>
      <c r="J49" s="12" t="inlineStr">
        <is>
          <t>R-18</t>
        </is>
      </c>
      <c r="K49" s="12" t="inlineStr">
        <is>
          <t>自動</t>
        </is>
      </c>
      <c r="L49" s="12" t="inlineStr">
        <is>
          <t>ap013_管理者は退会できない</t>
        </is>
      </c>
      <c r="M49" s="12" t="inlineStr">
        <is>
          <t>OK</t>
        </is>
      </c>
      <c r="N49" s="23" t="n">
        <v>46302</v>
      </c>
      <c r="O49" s="12" t="inlineStr">
        <is>
          <t>佐々木（Claude Code）</t>
        </is>
      </c>
      <c r="P49" s="12" t="inlineStr">
        <is>
          <t>自動テスト成功</t>
        </is>
      </c>
      <c r="Q49" s="12" t="inlineStr">
        <is>
          <t>evidence/IT/IT_API結合_結果一覧_20261007.txt</t>
        </is>
      </c>
      <c r="R49" s="12" t="n"/>
      <c r="S49" s="12" t="n"/>
      <c r="T49" s="12" t="n"/>
    </row>
    <row r="50" ht="40.5" customHeight="1">
      <c r="A50" s="12" t="inlineStr">
        <is>
          <t>IT-AP013-E03</t>
        </is>
      </c>
      <c r="B50" s="12" t="inlineStr">
        <is>
          <t>AP-013 利用者の退会（匿名化） DELETE /api/users/{id}</t>
        </is>
      </c>
      <c r="C50" s="12" t="inlineStr">
        <is>
          <t>異常系</t>
        </is>
      </c>
      <c r="D50" s="12" t="inlineStr">
        <is>
          <t>退会済みの利用者は再度退会できない</t>
        </is>
      </c>
      <c r="E50" s="12" t="inlineStr">
        <is>
          <t>退会済みの利用者</t>
        </is>
      </c>
      <c r="F50" s="12" t="inlineStr">
        <is>
          <t>管理者（ID=2）で退会済みの利用者を指定する</t>
        </is>
      </c>
      <c r="G50" s="12" t="inlineStr">
        <is>
          <t>400「既に退会済みです」（E-B-022）</t>
        </is>
      </c>
      <c r="H50" s="12" t="inlineStr">
        <is>
          <t>対象のusers.anonymized_atは変更されない</t>
        </is>
      </c>
      <c r="I50" s="12" t="inlineStr">
        <is>
          <t>-</t>
        </is>
      </c>
      <c r="J50" s="12" t="inlineStr">
        <is>
          <t>R-19</t>
        </is>
      </c>
      <c r="K50" s="12" t="inlineStr">
        <is>
          <t>自動</t>
        </is>
      </c>
      <c r="L50" s="12" t="inlineStr">
        <is>
          <t>ap013_既に退会済みの利用者は再度退会できない</t>
        </is>
      </c>
      <c r="M50" s="12" t="inlineStr">
        <is>
          <t>OK</t>
        </is>
      </c>
      <c r="N50" s="23" t="n">
        <v>46302</v>
      </c>
      <c r="O50" s="12" t="inlineStr">
        <is>
          <t>佐々木（Claude Code）</t>
        </is>
      </c>
      <c r="P50" s="12" t="inlineStr">
        <is>
          <t>自動テスト成功</t>
        </is>
      </c>
      <c r="Q50" s="12" t="inlineStr">
        <is>
          <t>evidence/IT/IT_API結合_結果一覧_20261007.txt</t>
        </is>
      </c>
      <c r="R50" s="12" t="n"/>
      <c r="S50" s="12" t="n"/>
      <c r="T50" s="12" t="n"/>
    </row>
    <row r="51" ht="40.5" customHeight="1">
      <c r="A51" s="12" t="inlineStr">
        <is>
          <t>IT-AP013-E04</t>
        </is>
      </c>
      <c r="B51" s="12" t="inlineStr">
        <is>
          <t>AP-013 利用者の退会（匿名化） DELETE /api/users/{id}</t>
        </is>
      </c>
      <c r="C51" s="12" t="inlineStr">
        <is>
          <t>異常系</t>
        </is>
      </c>
      <c r="D51" s="12" t="inlineStr">
        <is>
          <t>存在しない利用者は退会できない</t>
        </is>
      </c>
      <c r="E51" s="12" t="inlineStr">
        <is>
          <t>-</t>
        </is>
      </c>
      <c r="F51" s="12" t="inlineStr">
        <is>
          <t>管理者（ID=2）でDELETE /api/users/9999</t>
        </is>
      </c>
      <c r="G51" s="12" t="inlineStr">
        <is>
          <t>404「利用者が見つかりません」（E-B-018）</t>
        </is>
      </c>
      <c r="H51" s="12" t="inlineStr">
        <is>
          <t>usersは変更されない</t>
        </is>
      </c>
      <c r="I51" s="12" t="inlineStr">
        <is>
          <t>-</t>
        </is>
      </c>
      <c r="J51" s="12" t="inlineStr">
        <is>
          <t>AP-013</t>
        </is>
      </c>
      <c r="K51" s="12" t="inlineStr">
        <is>
          <t>自動</t>
        </is>
      </c>
      <c r="L51" s="12" t="inlineStr">
        <is>
          <t>ap013_対象の利用者が存在しない場合は404</t>
        </is>
      </c>
      <c r="M51" s="12" t="inlineStr">
        <is>
          <t>OK</t>
        </is>
      </c>
      <c r="N51" s="23" t="n">
        <v>46302</v>
      </c>
      <c r="O51" s="12" t="inlineStr">
        <is>
          <t>佐々木（Claude Code）</t>
        </is>
      </c>
      <c r="P51" s="12" t="inlineStr">
        <is>
          <t>自動テスト成功</t>
        </is>
      </c>
      <c r="Q51" s="12" t="inlineStr">
        <is>
          <t>evidence/IT/IT_API結合_結果一覧_20261007.txt</t>
        </is>
      </c>
      <c r="R51" s="12" t="n"/>
      <c r="S51" s="12" t="n"/>
      <c r="T51" s="12" t="n"/>
    </row>
    <row r="52" ht="40.5" customHeight="1">
      <c r="A52" s="12" t="inlineStr">
        <is>
          <t>IT-AP014-N01</t>
        </is>
      </c>
      <c r="B52" s="12" t="inlineStr">
        <is>
          <t>AP-014 ログイン中利用者情報取得 GET /api/whoami</t>
        </is>
      </c>
      <c r="C52" s="12" t="inlineStr">
        <is>
          <t>正常系</t>
        </is>
      </c>
      <c r="D52" s="12" t="inlineStr">
        <is>
          <t>管理者の情報が返る</t>
        </is>
      </c>
      <c r="E52" s="12" t="inlineStr">
        <is>
          <t>TD-00</t>
        </is>
      </c>
      <c r="F52" s="12" t="inlineStr">
        <is>
          <t>管理者（ID=2）で呼ぶ</t>
        </is>
      </c>
      <c r="G52" s="12" t="inlineStr">
        <is>
          <t>200、userId=2、roleCode=2、roleName=「管理者」、admin=true</t>
        </is>
      </c>
      <c r="H52" s="12" t="inlineStr">
        <is>
          <t>-（参照のみ）</t>
        </is>
      </c>
      <c r="I52" s="12" t="inlineStr">
        <is>
          <t>-</t>
        </is>
      </c>
      <c r="J52" s="12" t="inlineStr">
        <is>
          <t>AP-014</t>
        </is>
      </c>
      <c r="K52" s="12" t="inlineStr">
        <is>
          <t>自動</t>
        </is>
      </c>
      <c r="L52" s="12" t="inlineStr">
        <is>
          <t>ap014_whoamiはadminフィールドを含む</t>
        </is>
      </c>
      <c r="M52" s="12" t="inlineStr">
        <is>
          <t>OK</t>
        </is>
      </c>
      <c r="N52" s="23" t="n">
        <v>46302</v>
      </c>
      <c r="O52" s="12" t="inlineStr">
        <is>
          <t>佐々木（Claude Code）</t>
        </is>
      </c>
      <c r="P52" s="12" t="inlineStr">
        <is>
          <t>自動テスト成功</t>
        </is>
      </c>
      <c r="Q52" s="12" t="inlineStr">
        <is>
          <t>evidence/IT/IT_API結合_結果一覧_20261007.txt</t>
        </is>
      </c>
      <c r="R52" s="12" t="n"/>
      <c r="S52" s="12" t="n"/>
      <c r="T52" s="12" t="n"/>
    </row>
    <row r="53" ht="40.5" customHeight="1">
      <c r="A53" s="12" t="inlineStr">
        <is>
          <t>IT-AP014-N02</t>
        </is>
      </c>
      <c r="B53" s="12" t="inlineStr">
        <is>
          <t>AP-014 ログイン中利用者情報取得 GET /api/whoami</t>
        </is>
      </c>
      <c r="C53" s="12" t="inlineStr">
        <is>
          <t>正常系</t>
        </is>
      </c>
      <c r="D53" s="12" t="inlineStr">
        <is>
          <t>一般利用者の情報が返る</t>
        </is>
      </c>
      <c r="E53" s="12" t="inlineStr">
        <is>
          <t>TD-00</t>
        </is>
      </c>
      <c r="F53" s="12" t="inlineStr">
        <is>
          <t>一般ユーザー（ID=1）で呼ぶ</t>
        </is>
      </c>
      <c r="G53" s="12" t="inlineStr">
        <is>
          <t>200、userId=1、roleCode=1、admin=false</t>
        </is>
      </c>
      <c r="H53" s="12" t="inlineStr">
        <is>
          <t>-（参照のみ）</t>
        </is>
      </c>
      <c r="I53" s="12" t="inlineStr">
        <is>
          <t>-</t>
        </is>
      </c>
      <c r="J53" s="12" t="inlineStr">
        <is>
          <t>AP-014</t>
        </is>
      </c>
      <c r="K53" s="12" t="inlineStr">
        <is>
          <t>手動</t>
        </is>
      </c>
      <c r="L53" s="12" t="n"/>
      <c r="M53" s="12" t="inlineStr">
        <is>
          <t>OK</t>
        </is>
      </c>
      <c r="N53" s="23" t="n">
        <v>46303</v>
      </c>
      <c r="O53" s="12" t="inlineStr">
        <is>
          <t>佐々木</t>
        </is>
      </c>
      <c r="P53" s="12" t="n"/>
      <c r="Q53" s="15" t="inlineStr">
        <is>
          <t>45_テストエビデンス_API結合.xlsx／AP-014</t>
        </is>
      </c>
      <c r="R53" s="12" t="n"/>
      <c r="S53" s="12" t="n"/>
      <c r="T53" s="12" t="n"/>
    </row>
    <row r="54" ht="27" customHeight="1">
      <c r="A54" s="12" t="inlineStr">
        <is>
          <t>IT-AP020-N01</t>
        </is>
      </c>
      <c r="B54" s="12" t="inlineStr">
        <is>
          <t>AP-020 イベント一覧取得 GET /api/events</t>
        </is>
      </c>
      <c r="C54" s="12" t="inlineStr">
        <is>
          <t>正常系</t>
        </is>
      </c>
      <c r="D54" s="12" t="inlineStr">
        <is>
          <t>イベントの一覧が開催日時の昇順で返る</t>
        </is>
      </c>
      <c r="E54" s="12" t="inlineStr">
        <is>
          <t>TD-00</t>
        </is>
      </c>
      <c r="F54" s="12" t="inlineStr">
        <is>
          <t>一般ユーザー（ID=1）で呼ぶ</t>
        </is>
      </c>
      <c r="G54" s="12" t="inlineStr">
        <is>
          <t>200。startAtの昇順。各要素にacceptedCount・favoriteCount・openを含む</t>
        </is>
      </c>
      <c r="H54" s="12" t="inlineStr">
        <is>
          <t>-（参照のみ）</t>
        </is>
      </c>
      <c r="I54" s="12" t="inlineStr">
        <is>
          <t>-</t>
        </is>
      </c>
      <c r="J54" s="12" t="inlineStr">
        <is>
          <t>AP-020</t>
        </is>
      </c>
      <c r="K54" s="12" t="inlineStr">
        <is>
          <t>自動</t>
        </is>
      </c>
      <c r="L54" s="12" t="inlineStr">
        <is>
          <t>ap020_イベント一覧取得</t>
        </is>
      </c>
      <c r="M54" s="12" t="inlineStr">
        <is>
          <t>OK</t>
        </is>
      </c>
      <c r="N54" s="23" t="n">
        <v>46302</v>
      </c>
      <c r="O54" s="12" t="inlineStr">
        <is>
          <t>佐々木（Claude Code）</t>
        </is>
      </c>
      <c r="P54" s="12" t="inlineStr">
        <is>
          <t>自動テスト成功</t>
        </is>
      </c>
      <c r="Q54" s="12" t="inlineStr">
        <is>
          <t>evidence/IT/IT_API結合_結果一覧_20261007.txt</t>
        </is>
      </c>
      <c r="R54" s="12" t="n"/>
      <c r="S54" s="12" t="n"/>
      <c r="T54" s="12" t="n"/>
    </row>
    <row r="55" ht="27" customHeight="1">
      <c r="A55" s="12" t="inlineStr">
        <is>
          <t>IT-AP020-N02</t>
        </is>
      </c>
      <c r="B55" s="12" t="inlineStr">
        <is>
          <t>AP-020 イベント一覧取得 GET /api/events</t>
        </is>
      </c>
      <c r="C55" s="12" t="inlineStr">
        <is>
          <t>正常系</t>
        </is>
      </c>
      <c r="D55" s="12" t="inlineStr">
        <is>
          <t>お気に入りの件数が反映される</t>
        </is>
      </c>
      <c r="E55" s="12" t="inlineStr">
        <is>
          <t>1つのイベントに2人がお気に入り登録している</t>
        </is>
      </c>
      <c r="F55" s="12" t="inlineStr">
        <is>
          <t>一般ユーザー（ID=1）で呼ぶ</t>
        </is>
      </c>
      <c r="G55" s="12" t="inlineStr">
        <is>
          <t>対象イベントのfavoriteCountが2</t>
        </is>
      </c>
      <c r="H55" s="12" t="inlineStr">
        <is>
          <t>-（参照のみ）</t>
        </is>
      </c>
      <c r="I55" s="12" t="inlineStr">
        <is>
          <t>-</t>
        </is>
      </c>
      <c r="J55" s="12" t="inlineStr">
        <is>
          <t>AP-020</t>
        </is>
      </c>
      <c r="K55" s="12" t="inlineStr">
        <is>
          <t>自動</t>
        </is>
      </c>
      <c r="L55" s="12" t="inlineStr">
        <is>
          <t>ap020_favoriteCountはお気に入り登録件数を反映する</t>
        </is>
      </c>
      <c r="M55" s="12" t="inlineStr">
        <is>
          <t>OK</t>
        </is>
      </c>
      <c r="N55" s="23" t="n">
        <v>46302</v>
      </c>
      <c r="O55" s="12" t="inlineStr">
        <is>
          <t>佐々木（Claude Code）</t>
        </is>
      </c>
      <c r="P55" s="12" t="inlineStr">
        <is>
          <t>自動テスト成功</t>
        </is>
      </c>
      <c r="Q55" s="12" t="inlineStr">
        <is>
          <t>evidence/IT/IT_API結合_結果一覧_20261007.txt</t>
        </is>
      </c>
      <c r="R55" s="12" t="n"/>
      <c r="S55" s="12" t="n"/>
      <c r="T55" s="12" t="n"/>
    </row>
    <row r="56" ht="27" customHeight="1">
      <c r="A56" s="12" t="inlineStr">
        <is>
          <t>IT-AP020-N03</t>
        </is>
      </c>
      <c r="B56" s="12" t="inlineStr">
        <is>
          <t>AP-020 イベント一覧取得 GET /api/events</t>
        </is>
      </c>
      <c r="C56" s="12" t="inlineStr">
        <is>
          <t>正常系</t>
        </is>
      </c>
      <c r="D56" s="12" t="inlineStr">
        <is>
          <t>status=openで受付中のイベントだけが返る</t>
        </is>
      </c>
      <c r="E56" s="12" t="inlineStr">
        <is>
          <t>TD-00、TD-03</t>
        </is>
      </c>
      <c r="F56" s="12" t="inlineStr">
        <is>
          <t>一般ユーザー（ID=1）で?status=openを指定する</t>
        </is>
      </c>
      <c r="G56" s="12" t="inlineStr">
        <is>
          <t>200。全要素のopenがtrue。TD-03（締切済）は含まれない</t>
        </is>
      </c>
      <c r="H56" s="12" t="inlineStr">
        <is>
          <t>-（参照のみ）</t>
        </is>
      </c>
      <c r="I56" s="12" t="inlineStr">
        <is>
          <t>-</t>
        </is>
      </c>
      <c r="J56" s="12" t="inlineStr">
        <is>
          <t>AP-020</t>
        </is>
      </c>
      <c r="K56" s="12" t="inlineStr">
        <is>
          <t>手動</t>
        </is>
      </c>
      <c r="L56" s="12" t="n"/>
      <c r="M56" s="12" t="inlineStr">
        <is>
          <t>OK</t>
        </is>
      </c>
      <c r="N56" s="23" t="n">
        <v>46304</v>
      </c>
      <c r="O56" s="12" t="inlineStr">
        <is>
          <t>佐々木</t>
        </is>
      </c>
      <c r="P56" s="12" t="n"/>
      <c r="Q56" s="15" t="inlineStr">
        <is>
          <t>45_テストエビデンス_API結合.xlsx／AP-020</t>
        </is>
      </c>
      <c r="R56" s="12" t="n"/>
      <c r="S56" s="12" t="n"/>
      <c r="T56" s="12" t="n"/>
    </row>
    <row r="57" ht="27" customHeight="1">
      <c r="A57" s="12" t="inlineStr">
        <is>
          <t>IT-AP020-N04</t>
        </is>
      </c>
      <c r="B57" s="12" t="inlineStr">
        <is>
          <t>AP-020 イベント一覧取得 GET /api/events</t>
        </is>
      </c>
      <c r="C57" s="12" t="inlineStr">
        <is>
          <t>正常系</t>
        </is>
      </c>
      <c r="D57" s="12" t="inlineStr">
        <is>
          <t>削除済みのイベントは一覧に含まれない</t>
        </is>
      </c>
      <c r="E57" s="12" t="inlineStr">
        <is>
          <t>削除済みのイベントがある</t>
        </is>
      </c>
      <c r="F57" s="12" t="inlineStr">
        <is>
          <t>一般ユーザー（ID=1）で呼ぶ（status指定なし）</t>
        </is>
      </c>
      <c r="G57" s="12" t="inlineStr">
        <is>
          <t>200。削除済みのイベントは含まれない</t>
        </is>
      </c>
      <c r="H57" s="12" t="inlineStr">
        <is>
          <t>-（参照のみ）</t>
        </is>
      </c>
      <c r="I57" s="12" t="inlineStr">
        <is>
          <t>-</t>
        </is>
      </c>
      <c r="J57" s="12" t="inlineStr">
        <is>
          <t>AP-020</t>
        </is>
      </c>
      <c r="K57" s="12" t="inlineStr">
        <is>
          <t>手動</t>
        </is>
      </c>
      <c r="L57" s="12" t="n"/>
      <c r="M57" s="12" t="inlineStr">
        <is>
          <t>OK</t>
        </is>
      </c>
      <c r="N57" s="23" t="n">
        <v>46304</v>
      </c>
      <c r="O57" s="12" t="inlineStr">
        <is>
          <t>佐々木</t>
        </is>
      </c>
      <c r="P57" s="12" t="n"/>
      <c r="Q57" s="15" t="inlineStr">
        <is>
          <t>45_テストエビデンス_API結合.xlsx／AP-020</t>
        </is>
      </c>
      <c r="R57" s="12" t="n"/>
      <c r="S57" s="12" t="n"/>
      <c r="T57" s="12" t="n"/>
    </row>
    <row r="58" ht="27" customHeight="1">
      <c r="A58" s="12" t="inlineStr">
        <is>
          <t>IT-AP020-N05</t>
        </is>
      </c>
      <c r="B58" s="12" t="inlineStr">
        <is>
          <t>AP-020 イベント一覧取得 GET /api/events</t>
        </is>
      </c>
      <c r="C58" s="12" t="inlineStr">
        <is>
          <t>正常系</t>
        </is>
      </c>
      <c r="D58" s="12" t="inlineStr">
        <is>
          <t>削除済みのイベントはstatus=openでも含まれない</t>
        </is>
      </c>
      <c r="E58" s="12" t="inlineStr">
        <is>
          <t>削除済みのイベントがある</t>
        </is>
      </c>
      <c r="F58" s="12" t="inlineStr">
        <is>
          <t>一般ユーザー（ID=1）で?status=openを指定する</t>
        </is>
      </c>
      <c r="G58" s="12" t="inlineStr">
        <is>
          <t>200。削除済みのイベントは含まれない</t>
        </is>
      </c>
      <c r="H58" s="12" t="inlineStr">
        <is>
          <t>-（参照のみ）</t>
        </is>
      </c>
      <c r="I58" s="12" t="inlineStr">
        <is>
          <t>-</t>
        </is>
      </c>
      <c r="J58" s="12" t="inlineStr">
        <is>
          <t>AP-020</t>
        </is>
      </c>
      <c r="K58" s="12" t="inlineStr">
        <is>
          <t>手動</t>
        </is>
      </c>
      <c r="L58" s="12" t="n"/>
      <c r="M58" s="12" t="inlineStr">
        <is>
          <t>OK</t>
        </is>
      </c>
      <c r="N58" s="23" t="n">
        <v>46304</v>
      </c>
      <c r="O58" s="12" t="inlineStr">
        <is>
          <t>佐々木</t>
        </is>
      </c>
      <c r="P58" s="12" t="n"/>
      <c r="Q58" s="15" t="inlineStr">
        <is>
          <t>45_テストエビデンス_API結合.xlsx／AP-020</t>
        </is>
      </c>
      <c r="R58" s="12" t="n"/>
      <c r="S58" s="12" t="n"/>
      <c r="T58" s="12" t="n"/>
    </row>
    <row r="59" ht="40.5" customHeight="1">
      <c r="A59" s="12" t="inlineStr">
        <is>
          <t>IT-AP021-N01</t>
        </is>
      </c>
      <c r="B59" s="12" t="inlineStr">
        <is>
          <t>AP-021 イベント詳細取得 GET /api/events/{id}</t>
        </is>
      </c>
      <c r="C59" s="12" t="inlineStr">
        <is>
          <t>正常系</t>
        </is>
      </c>
      <c r="D59" s="12" t="inlineStr">
        <is>
          <t>参加区分付きのイベントの詳細が返る</t>
        </is>
      </c>
      <c r="E59" s="12" t="inlineStr">
        <is>
          <t>TD-01</t>
        </is>
      </c>
      <c r="F59" s="12" t="inlineStr">
        <is>
          <t>一般ユーザー（ID=1）でTD-01のIDを指定する</t>
        </is>
      </c>
      <c r="G59" s="12" t="inlineStr">
        <is>
          <t>200。remaining・extraQuestionと、ticketTypes[]（各要素にname・capacity・remaining）を含む</t>
        </is>
      </c>
      <c r="H59" s="12" t="inlineStr">
        <is>
          <t>-（参照のみ）</t>
        </is>
      </c>
      <c r="I59" s="12" t="inlineStr">
        <is>
          <t>-</t>
        </is>
      </c>
      <c r="J59" s="12" t="inlineStr">
        <is>
          <t>AP-021</t>
        </is>
      </c>
      <c r="K59" s="12" t="inlineStr">
        <is>
          <t>自動</t>
        </is>
      </c>
      <c r="L59" s="12" t="inlineStr">
        <is>
          <t>ap021_イベント詳細取得</t>
        </is>
      </c>
      <c r="M59" s="12" t="inlineStr">
        <is>
          <t>OK</t>
        </is>
      </c>
      <c r="N59" s="23" t="n">
        <v>46302</v>
      </c>
      <c r="O59" s="12" t="inlineStr">
        <is>
          <t>佐々木（Claude Code）</t>
        </is>
      </c>
      <c r="P59" s="12" t="inlineStr">
        <is>
          <t>自動テスト成功</t>
        </is>
      </c>
      <c r="Q59" s="12" t="inlineStr">
        <is>
          <t>evidence/IT/IT_API結合_結果一覧_20261007.txt</t>
        </is>
      </c>
      <c r="R59" s="12" t="n"/>
      <c r="S59" s="12" t="n"/>
      <c r="T59" s="12" t="n"/>
    </row>
    <row r="60" ht="27" customHeight="1">
      <c r="A60" s="12" t="inlineStr">
        <is>
          <t>IT-AP021-N02</t>
        </is>
      </c>
      <c r="B60" s="12" t="inlineStr">
        <is>
          <t>AP-021 イベント詳細取得 GET /api/events/{id}</t>
        </is>
      </c>
      <c r="C60" s="12" t="inlineStr">
        <is>
          <t>正常系</t>
        </is>
      </c>
      <c r="D60" s="12" t="inlineStr">
        <is>
          <t>参加区分の無いイベントはticketTypesが空で返る</t>
        </is>
      </c>
      <c r="E60" s="12" t="inlineStr">
        <is>
          <t>TD-02</t>
        </is>
      </c>
      <c r="F60" s="12" t="inlineStr">
        <is>
          <t>一般ユーザー（ID=1）でTD-02のIDを指定する</t>
        </is>
      </c>
      <c r="G60" s="12" t="inlineStr">
        <is>
          <t>200。ticketTypesが空の配列</t>
        </is>
      </c>
      <c r="H60" s="12" t="inlineStr">
        <is>
          <t>-（参照のみ）</t>
        </is>
      </c>
      <c r="I60" s="12" t="inlineStr">
        <is>
          <t>-</t>
        </is>
      </c>
      <c r="J60" s="12" t="inlineStr">
        <is>
          <t>AP-021</t>
        </is>
      </c>
      <c r="K60" s="12" t="inlineStr">
        <is>
          <t>手動</t>
        </is>
      </c>
      <c r="L60" s="12" t="n"/>
      <c r="M60" s="12" t="inlineStr">
        <is>
          <t>OK</t>
        </is>
      </c>
      <c r="N60" s="23" t="n">
        <v>46304</v>
      </c>
      <c r="O60" s="12" t="inlineStr">
        <is>
          <t>佐々木</t>
        </is>
      </c>
      <c r="P60" s="12" t="n"/>
      <c r="Q60" s="15" t="inlineStr">
        <is>
          <t>45_テストエビデンス_API結合.xlsx／AP-021</t>
        </is>
      </c>
      <c r="R60" s="12" t="n"/>
      <c r="S60" s="12" t="n"/>
      <c r="T60" s="12" t="n"/>
    </row>
    <row r="61" ht="27" customHeight="1">
      <c r="A61" s="12" t="inlineStr">
        <is>
          <t>IT-AP021-E01</t>
        </is>
      </c>
      <c r="B61" s="12" t="inlineStr">
        <is>
          <t>AP-021 イベント詳細取得 GET /api/events/{id}</t>
        </is>
      </c>
      <c r="C61" s="12" t="inlineStr">
        <is>
          <t>異常系</t>
        </is>
      </c>
      <c r="D61" s="12" t="inlineStr">
        <is>
          <t>存在しないイベントは取得できない</t>
        </is>
      </c>
      <c r="E61" s="12" t="inlineStr">
        <is>
          <t>-</t>
        </is>
      </c>
      <c r="F61" s="12" t="inlineStr">
        <is>
          <t>一般ユーザー（ID=1）でGET /api/events/99999</t>
        </is>
      </c>
      <c r="G61" s="12" t="inlineStr">
        <is>
          <t>404「イベントが見つかりません」（E-B-001）</t>
        </is>
      </c>
      <c r="H61" s="12" t="inlineStr">
        <is>
          <t>-（参照のみ）</t>
        </is>
      </c>
      <c r="I61" s="12" t="inlineStr">
        <is>
          <t>-</t>
        </is>
      </c>
      <c r="J61" s="12" t="inlineStr">
        <is>
          <t>AP-021</t>
        </is>
      </c>
      <c r="K61" s="12" t="inlineStr">
        <is>
          <t>手動</t>
        </is>
      </c>
      <c r="L61" s="12" t="n"/>
      <c r="M61" s="12" t="inlineStr">
        <is>
          <t>OK</t>
        </is>
      </c>
      <c r="N61" s="23" t="n">
        <v>46304</v>
      </c>
      <c r="O61" s="12" t="inlineStr">
        <is>
          <t>佐々木</t>
        </is>
      </c>
      <c r="P61" s="12" t="n"/>
      <c r="Q61" s="15" t="inlineStr">
        <is>
          <t>45_テストエビデンス_API結合.xlsx／AP-021</t>
        </is>
      </c>
      <c r="R61" s="12" t="n"/>
      <c r="S61" s="12" t="n"/>
      <c r="T61" s="12" t="n"/>
    </row>
    <row r="62" ht="27" customHeight="1">
      <c r="A62" s="12" t="inlineStr">
        <is>
          <t>IT-AP021-E02</t>
        </is>
      </c>
      <c r="B62" s="12" t="inlineStr">
        <is>
          <t>AP-021 イベント詳細取得 GET /api/events/{id}</t>
        </is>
      </c>
      <c r="C62" s="12" t="inlineStr">
        <is>
          <t>異常系</t>
        </is>
      </c>
      <c r="D62" s="12" t="inlineStr">
        <is>
          <t>削除済みのイベントは取得できない</t>
        </is>
      </c>
      <c r="E62" s="12" t="inlineStr">
        <is>
          <t>削除済みのイベントがある</t>
        </is>
      </c>
      <c r="F62" s="12" t="inlineStr">
        <is>
          <t>一般ユーザー（ID=1）で削除済みのイベントのIDを指定する</t>
        </is>
      </c>
      <c r="G62" s="12" t="inlineStr">
        <is>
          <t>404「イベントが見つかりません」（E-B-001）</t>
        </is>
      </c>
      <c r="H62" s="12" t="inlineStr">
        <is>
          <t>-（参照のみ）</t>
        </is>
      </c>
      <c r="I62" s="12" t="inlineStr">
        <is>
          <t>-</t>
        </is>
      </c>
      <c r="J62" s="12" t="inlineStr">
        <is>
          <t>AP-021</t>
        </is>
      </c>
      <c r="K62" s="12" t="inlineStr">
        <is>
          <t>手動</t>
        </is>
      </c>
      <c r="L62" s="12" t="n"/>
      <c r="M62" s="12" t="inlineStr">
        <is>
          <t>OK</t>
        </is>
      </c>
      <c r="N62" s="23" t="n">
        <v>46304</v>
      </c>
      <c r="O62" s="12" t="inlineStr">
        <is>
          <t>佐々木</t>
        </is>
      </c>
      <c r="P62" s="12" t="n"/>
      <c r="Q62" s="15" t="inlineStr">
        <is>
          <t>45_テストエビデンス_API結合.xlsx／AP-021</t>
        </is>
      </c>
      <c r="R62" s="12" t="n"/>
      <c r="S62" s="12" t="n"/>
      <c r="T62" s="12" t="n"/>
    </row>
    <row r="63" ht="40.5" customHeight="1">
      <c r="A63" s="12" t="inlineStr">
        <is>
          <t>IT-AP030-N01</t>
        </is>
      </c>
      <c r="B63" s="12" t="inlineStr">
        <is>
          <t>AP-030 イベント申込 POST /api/applications</t>
        </is>
      </c>
      <c r="C63" s="12" t="inlineStr">
        <is>
          <t>正常系</t>
        </is>
      </c>
      <c r="D63" s="12" t="inlineStr">
        <is>
          <t>空きのあるイベントに申し込むと受付済になる</t>
        </is>
      </c>
      <c r="E63" s="12" t="inlineStr">
        <is>
          <t>TD-02（申込なし）</t>
        </is>
      </c>
      <c r="F63" s="12" t="inlineStr">
        <is>
          <t>一般ユーザー（ID=1）で{"eventId": TD-02のID}</t>
        </is>
      </c>
      <c r="G63" s="12" t="inlineStr">
        <is>
          <t>201、statusCode=1、statusName=「受付済」、userId=1</t>
        </is>
      </c>
      <c r="H63" s="12" t="inlineStr">
        <is>
          <t>applicationsに1行追加される。event_id=TD-02、user_id=1、status_code=1、applied_atに日時</t>
        </is>
      </c>
      <c r="I63" s="12" t="inlineStr">
        <is>
          <t>-</t>
        </is>
      </c>
      <c r="J63" s="12" t="inlineStr">
        <is>
          <t>R-02、AP-030</t>
        </is>
      </c>
      <c r="K63" s="12" t="inlineStr">
        <is>
          <t>自動</t>
        </is>
      </c>
      <c r="L63" s="12" t="inlineStr">
        <is>
          <t>ap030_一般ユーザーは申込できる</t>
        </is>
      </c>
      <c r="M63" s="12" t="inlineStr">
        <is>
          <t>OK</t>
        </is>
      </c>
      <c r="N63" s="23" t="n">
        <v>46302</v>
      </c>
      <c r="O63" s="12" t="inlineStr">
        <is>
          <t>佐々木（Claude Code）</t>
        </is>
      </c>
      <c r="P63" s="12" t="inlineStr">
        <is>
          <t>自動テスト成功</t>
        </is>
      </c>
      <c r="Q63" s="12" t="inlineStr">
        <is>
          <t>evidence/IT/IT_API結合_結果一覧_20261007.txt</t>
        </is>
      </c>
      <c r="R63" s="12" t="n"/>
      <c r="S63" s="12" t="n"/>
      <c r="T63" s="12" t="n"/>
    </row>
    <row r="64" ht="27" customHeight="1">
      <c r="A64" s="12" t="inlineStr">
        <is>
          <t>IT-AP030-N02</t>
        </is>
      </c>
      <c r="B64" s="12" t="inlineStr">
        <is>
          <t>AP-030 イベント申込 POST /api/applications</t>
        </is>
      </c>
      <c r="C64" s="12" t="inlineStr">
        <is>
          <t>正常系</t>
        </is>
      </c>
      <c r="D64" s="12" t="inlineStr">
        <is>
          <t>申込状況がコードと表示名の両方で返る</t>
        </is>
      </c>
      <c r="E64" s="12" t="inlineStr">
        <is>
          <t>TD-02（申込なし）</t>
        </is>
      </c>
      <c r="F64" s="12" t="inlineStr">
        <is>
          <t>一般ユーザー（ID=1）で申し込む</t>
        </is>
      </c>
      <c r="G64" s="12" t="inlineStr">
        <is>
          <t>201、statusCode=1、statusName=「受付済」</t>
        </is>
      </c>
      <c r="H64" s="12" t="inlineStr">
        <is>
          <t>applications.status_code=1</t>
        </is>
      </c>
      <c r="I64" s="12" t="inlineStr">
        <is>
          <t>-</t>
        </is>
      </c>
      <c r="J64" s="12" t="inlineStr">
        <is>
          <t>23_API基本設計書 2.8</t>
        </is>
      </c>
      <c r="K64" s="12" t="inlineStr">
        <is>
          <t>自動</t>
        </is>
      </c>
      <c r="L64" s="12" t="inlineStr">
        <is>
          <t>ap030_申込状況がコードと表示名の両方で返る</t>
        </is>
      </c>
      <c r="M64" s="12" t="inlineStr">
        <is>
          <t>OK</t>
        </is>
      </c>
      <c r="N64" s="23" t="n">
        <v>46302</v>
      </c>
      <c r="O64" s="12" t="inlineStr">
        <is>
          <t>佐々木（Claude Code）</t>
        </is>
      </c>
      <c r="P64" s="12" t="inlineStr">
        <is>
          <t>自動テスト成功</t>
        </is>
      </c>
      <c r="Q64" s="12" t="inlineStr">
        <is>
          <t>evidence/IT/IT_API結合_結果一覧_20261007.txt</t>
        </is>
      </c>
      <c r="R64" s="12" t="n"/>
      <c r="S64" s="12" t="n"/>
      <c r="T64" s="12" t="n"/>
    </row>
    <row r="65" ht="27" customHeight="1">
      <c r="A65" s="12" t="inlineStr">
        <is>
          <t>IT-AP030-N03</t>
        </is>
      </c>
      <c r="B65" s="12" t="inlineStr">
        <is>
          <t>AP-030 イベント申込 POST /api/applications</t>
        </is>
      </c>
      <c r="C65" s="12" t="inlineStr">
        <is>
          <t>正常系</t>
        </is>
      </c>
      <c r="D65" s="12" t="inlineStr">
        <is>
          <t>定員に達しているイベントに申し込むとキャンセル待ちになる</t>
        </is>
      </c>
      <c r="E65" s="12" t="inlineStr">
        <is>
          <t>TD-02に一般ユーザーが受付済で申込済み</t>
        </is>
      </c>
      <c r="F65" s="12" t="inlineStr">
        <is>
          <t>TD-05の利用者で{"eventId": TD-02のID}</t>
        </is>
      </c>
      <c r="G65" s="12" t="inlineStr">
        <is>
          <t>201、statusCode=2、statusName=「キャンセル待ち」</t>
        </is>
      </c>
      <c r="H65" s="12" t="inlineStr">
        <is>
          <t>追加された行のstatus_code=2。先に申し込んだ行のstatus_codeは1のまま</t>
        </is>
      </c>
      <c r="I65" s="12" t="inlineStr">
        <is>
          <t>【操作の前と後に実行し、期待結果のとおりであることを確認する】
SELECT id, event_id, user_id, ticket_type_id, status_code, extra_answer, checked_in_at, updated_at FROM applications ORDER BY id;</t>
        </is>
      </c>
      <c r="J65" s="12" t="inlineStr">
        <is>
          <t>R-02</t>
        </is>
      </c>
      <c r="K65" s="12" t="inlineStr">
        <is>
          <t>手動</t>
        </is>
      </c>
      <c r="L65" s="12" t="n"/>
      <c r="M65" s="12" t="inlineStr">
        <is>
          <t>OK</t>
        </is>
      </c>
      <c r="N65" s="23" t="n">
        <v>46304</v>
      </c>
      <c r="O65" s="12" t="inlineStr">
        <is>
          <t>佐々木</t>
        </is>
      </c>
      <c r="P65" s="12" t="n"/>
      <c r="Q65" s="15" t="inlineStr">
        <is>
          <t>45_テストエビデンス_API結合.xlsx／AP-030</t>
        </is>
      </c>
      <c r="R65" s="12" t="n"/>
      <c r="S65" s="12" t="n"/>
      <c r="T65" s="12" t="n"/>
    </row>
    <row r="66" ht="27" customHeight="1">
      <c r="A66" s="12" t="inlineStr">
        <is>
          <t>IT-AP030-N04</t>
        </is>
      </c>
      <c r="B66" s="12" t="inlineStr">
        <is>
          <t>AP-030 イベント申込 POST /api/applications</t>
        </is>
      </c>
      <c r="C66" s="12" t="inlineStr">
        <is>
          <t>正常系</t>
        </is>
      </c>
      <c r="D66" s="12" t="inlineStr">
        <is>
          <t>参加区分を指定して申し込める</t>
        </is>
      </c>
      <c r="E66" s="12" t="inlineStr">
        <is>
          <t>TD-01（申込なし）</t>
        </is>
      </c>
      <c r="F66" s="12" t="inlineStr">
        <is>
          <t>一般ユーザー（ID=1）でeventIdと区分「一般」のticketTypeIdを指定する</t>
        </is>
      </c>
      <c r="G66" s="12" t="inlineStr">
        <is>
          <t>201、ticketTypeId=指定した区分のID</t>
        </is>
      </c>
      <c r="H66" s="12" t="inlineStr">
        <is>
          <t>追加された行のticket_type_idが指定した区分のID</t>
        </is>
      </c>
      <c r="I66" s="12" t="inlineStr">
        <is>
          <t>【操作の前と後に実行し、期待結果のとおりであることを確認する】
SELECT id, event_id, user_id, ticket_type_id, status_code, extra_answer, checked_in_at, updated_at FROM applications ORDER BY id;</t>
        </is>
      </c>
      <c r="J66" s="12" t="inlineStr">
        <is>
          <t>AP-030、C-03</t>
        </is>
      </c>
      <c r="K66" s="12" t="inlineStr">
        <is>
          <t>手動</t>
        </is>
      </c>
      <c r="L66" s="12" t="n"/>
      <c r="M66" s="12" t="inlineStr">
        <is>
          <t>OK</t>
        </is>
      </c>
      <c r="N66" s="23" t="n">
        <v>46304</v>
      </c>
      <c r="O66" s="12" t="inlineStr">
        <is>
          <t>佐々木</t>
        </is>
      </c>
      <c r="P66" s="12" t="n"/>
      <c r="Q66" s="15" t="inlineStr">
        <is>
          <t>45_テストエビデンス_API結合.xlsx／AP-030</t>
        </is>
      </c>
      <c r="R66" s="12" t="n"/>
      <c r="S66" s="12" t="n"/>
      <c r="T66" s="12" t="n"/>
    </row>
    <row r="67" ht="27" customHeight="1">
      <c r="A67" s="12" t="inlineStr">
        <is>
          <t>IT-AP030-N05</t>
        </is>
      </c>
      <c r="B67" s="12" t="inlineStr">
        <is>
          <t>AP-030 イベント申込 POST /api/applications</t>
        </is>
      </c>
      <c r="C67" s="12" t="inlineStr">
        <is>
          <t>正常系</t>
        </is>
      </c>
      <c r="D67" s="12" t="inlineStr">
        <is>
          <t>アンケート回答は500文字まで登録できる（上限）</t>
        </is>
      </c>
      <c r="E67" s="12" t="inlineStr">
        <is>
          <t>TD-01（申込なし）</t>
        </is>
      </c>
      <c r="F67" s="12" t="inlineStr">
        <is>
          <t>一般ユーザー（ID=1）でextraAnswerを500文字にして申し込む</t>
        </is>
      </c>
      <c r="G67" s="12" t="inlineStr">
        <is>
          <t>201</t>
        </is>
      </c>
      <c r="H67" s="12" t="inlineStr">
        <is>
          <t>追加された行のextra_answerが500文字で保存される</t>
        </is>
      </c>
      <c r="I67" s="12" t="inlineStr">
        <is>
          <t>【操作の前と後に実行し、期待結果のとおりであることを確認する】
SELECT id, event_id, user_id, ticket_type_id, status_code, CHAR_LENGTH(extra_answer) AS extra_answer_length, checked_in_at, updated_at FROM applications ORDER BY id;</t>
        </is>
      </c>
      <c r="J67" s="12" t="inlineStr">
        <is>
          <t>E-V-006</t>
        </is>
      </c>
      <c r="K67" s="12" t="inlineStr">
        <is>
          <t>手動</t>
        </is>
      </c>
      <c r="L67" s="12" t="n"/>
      <c r="M67" s="12" t="inlineStr">
        <is>
          <t>OK</t>
        </is>
      </c>
      <c r="N67" s="23" t="n">
        <v>46304</v>
      </c>
      <c r="O67" s="12" t="inlineStr">
        <is>
          <t>佐々木</t>
        </is>
      </c>
      <c r="P67" s="12" t="n"/>
      <c r="Q67" s="15" t="inlineStr">
        <is>
          <t>45_テストエビデンス_API結合.xlsx／AP-030</t>
        </is>
      </c>
      <c r="R67" s="12" t="n"/>
      <c r="S67" s="12" t="n"/>
      <c r="T67" s="12" t="n"/>
    </row>
    <row r="68" ht="27" customHeight="1">
      <c r="A68" s="12" t="inlineStr">
        <is>
          <t>IT-AP030-N06</t>
        </is>
      </c>
      <c r="B68" s="12" t="inlineStr">
        <is>
          <t>AP-030 イベント申込 POST /api/applications</t>
        </is>
      </c>
      <c r="C68" s="12" t="inlineStr">
        <is>
          <t>正常系</t>
        </is>
      </c>
      <c r="D68" s="12" t="inlineStr">
        <is>
          <t>キャンセル済の履歴があっても再度申し込める</t>
        </is>
      </c>
      <c r="E68" s="12" t="inlineStr">
        <is>
          <t>TD-02に一般ユーザーのキャンセル済の申込だけがある</t>
        </is>
      </c>
      <c r="F68" s="12" t="inlineStr">
        <is>
          <t>一般ユーザー（ID=1）で{"eventId": TD-02のID}</t>
        </is>
      </c>
      <c r="G68" s="12" t="inlineStr">
        <is>
          <t>201、statusCode=1</t>
        </is>
      </c>
      <c r="H68" s="12" t="inlineStr">
        <is>
          <t>applicationsに新しい行が追加される。キャンセル済の行（status_code=9）は残る</t>
        </is>
      </c>
      <c r="I68" s="12" t="inlineStr">
        <is>
          <t>【操作の前と後に実行し、期待結果のとおりであることを確認する】
SELECT id, event_id, user_id, ticket_type_id, status_code, extra_answer, checked_in_at, updated_at FROM applications ORDER BY id;</t>
        </is>
      </c>
      <c r="J68" s="12" t="inlineStr">
        <is>
          <t>R-03</t>
        </is>
      </c>
      <c r="K68" s="12" t="inlineStr">
        <is>
          <t>手動</t>
        </is>
      </c>
      <c r="L68" s="12" t="n"/>
      <c r="M68" s="12" t="inlineStr">
        <is>
          <t>OK</t>
        </is>
      </c>
      <c r="N68" s="23" t="n">
        <v>46304</v>
      </c>
      <c r="O68" s="12" t="inlineStr">
        <is>
          <t>佐々木</t>
        </is>
      </c>
      <c r="P68" s="12" t="n"/>
      <c r="Q68" s="15" t="inlineStr">
        <is>
          <t>45_テストエビデンス_API結合.xlsx／AP-030</t>
        </is>
      </c>
      <c r="R68" s="12" t="n"/>
      <c r="S68" s="12" t="n"/>
      <c r="T68" s="12" t="n"/>
    </row>
    <row r="69" ht="40.5" customHeight="1">
      <c r="A69" s="12" t="inlineStr">
        <is>
          <t>IT-AP030-E01</t>
        </is>
      </c>
      <c r="B69" s="12" t="inlineStr">
        <is>
          <t>AP-030 イベント申込 POST /api/applications</t>
        </is>
      </c>
      <c r="C69" s="12" t="inlineStr">
        <is>
          <t>異常系</t>
        </is>
      </c>
      <c r="D69" s="12" t="inlineStr">
        <is>
          <t>管理者は申し込めない</t>
        </is>
      </c>
      <c r="E69" s="12" t="inlineStr">
        <is>
          <t>TD-02</t>
        </is>
      </c>
      <c r="F69" s="12" t="inlineStr">
        <is>
          <t>管理者（ID=2）でPOST /api/applicationsに{"eventId": TD-02のID}を送る</t>
        </is>
      </c>
      <c r="G69" s="12" t="inlineStr">
        <is>
          <t>403「管理者は申込できません」（E-A-005）</t>
        </is>
      </c>
      <c r="H69" s="12" t="inlineStr">
        <is>
          <t>SELECT COUNT(*) FROM applications WHERE user_id = 2の結果が実行前と同じ（0件のまま）</t>
        </is>
      </c>
      <c r="I69" s="12" t="inlineStr">
        <is>
          <t>【操作の前と後に実行し、結果が同じことを確認する】
SELECT COUNT(*) FROM applications WHERE user_id = 2;</t>
        </is>
      </c>
      <c r="J69" s="12" t="inlineStr">
        <is>
          <t>10_要件定義書 3章、E-A-005</t>
        </is>
      </c>
      <c r="K69" s="12" t="inlineStr">
        <is>
          <t>手動</t>
        </is>
      </c>
      <c r="L69" s="12" t="n"/>
      <c r="M69" s="12" t="inlineStr">
        <is>
          <t>OK</t>
        </is>
      </c>
      <c r="N69" s="23" t="n">
        <v>46304</v>
      </c>
      <c r="O69" s="12" t="inlineStr">
        <is>
          <t>佐々木</t>
        </is>
      </c>
      <c r="P69" s="12" t="n"/>
      <c r="Q69" s="15" t="inlineStr">
        <is>
          <t>45_テストエビデンス_API結合.xlsx／AP-030</t>
        </is>
      </c>
      <c r="R69" s="12" t="n"/>
      <c r="S69" s="12" t="n"/>
      <c r="T69" s="12" t="n"/>
    </row>
    <row r="70" ht="27" customHeight="1">
      <c r="A70" s="12" t="inlineStr">
        <is>
          <t>IT-AP030-E02</t>
        </is>
      </c>
      <c r="B70" s="12" t="inlineStr">
        <is>
          <t>AP-030 イベント申込 POST /api/applications</t>
        </is>
      </c>
      <c r="C70" s="12" t="inlineStr">
        <is>
          <t>異常系</t>
        </is>
      </c>
      <c r="D70" s="12" t="inlineStr">
        <is>
          <t>申込締切を過ぎたイベントには申し込めない</t>
        </is>
      </c>
      <c r="E70" s="12" t="inlineStr">
        <is>
          <t>TD-03</t>
        </is>
      </c>
      <c r="F70" s="12" t="inlineStr">
        <is>
          <t>一般ユーザー（ID=1）で{"eventId": TD-03のID}</t>
        </is>
      </c>
      <c r="G70" s="12" t="inlineStr">
        <is>
          <t>400「申込受付は終了しました」（E-B-002）</t>
        </is>
      </c>
      <c r="H70" s="12" t="inlineStr">
        <is>
          <t>applicationsは変更されない</t>
        </is>
      </c>
      <c r="I70" s="12" t="inlineStr">
        <is>
          <t>【操作の前と後に実行し、結果が同じことを確認する】
SELECT * FROM applications ORDER BY id;</t>
        </is>
      </c>
      <c r="J70" s="12" t="inlineStr">
        <is>
          <t>R-01</t>
        </is>
      </c>
      <c r="K70" s="12" t="inlineStr">
        <is>
          <t>手動</t>
        </is>
      </c>
      <c r="L70" s="12" t="n"/>
      <c r="M70" s="12" t="inlineStr">
        <is>
          <t>OK</t>
        </is>
      </c>
      <c r="N70" s="23" t="n">
        <v>46304</v>
      </c>
      <c r="O70" s="12" t="inlineStr">
        <is>
          <t>佐々木</t>
        </is>
      </c>
      <c r="P70" s="12" t="n"/>
      <c r="Q70" s="15" t="inlineStr">
        <is>
          <t>45_テストエビデンス_API結合.xlsx／AP-030</t>
        </is>
      </c>
      <c r="R70" s="12" t="n"/>
      <c r="S70" s="12" t="n"/>
      <c r="T70" s="12" t="n"/>
    </row>
    <row r="71" ht="27" customHeight="1">
      <c r="A71" s="12" t="inlineStr">
        <is>
          <t>IT-AP030-E03</t>
        </is>
      </c>
      <c r="B71" s="12" t="inlineStr">
        <is>
          <t>AP-030 イベント申込 POST /api/applications</t>
        </is>
      </c>
      <c r="C71" s="12" t="inlineStr">
        <is>
          <t>異常系</t>
        </is>
      </c>
      <c r="D71" s="12" t="inlineStr">
        <is>
          <t>開催日時を過ぎたイベントには申し込めない</t>
        </is>
      </c>
      <c r="E71" s="12" t="inlineStr">
        <is>
          <t>TD-04</t>
        </is>
      </c>
      <c r="F71" s="12" t="inlineStr">
        <is>
          <t>TD-05の利用者で{"eventId": TD-04のID}</t>
        </is>
      </c>
      <c r="G71" s="12" t="inlineStr">
        <is>
          <t>400「申込受付は終了しました」（E-B-002）</t>
        </is>
      </c>
      <c r="H71" s="12" t="inlineStr">
        <is>
          <t>applicationsは変更されない</t>
        </is>
      </c>
      <c r="I71" s="12" t="inlineStr">
        <is>
          <t>【操作の前と後に実行し、結果が同じことを確認する】
SELECT * FROM applications ORDER BY id;</t>
        </is>
      </c>
      <c r="J71" s="12" t="inlineStr">
        <is>
          <t>R-01</t>
        </is>
      </c>
      <c r="K71" s="12" t="inlineStr">
        <is>
          <t>手動</t>
        </is>
      </c>
      <c r="L71" s="12" t="n"/>
      <c r="M71" s="12" t="inlineStr">
        <is>
          <t>OK</t>
        </is>
      </c>
      <c r="N71" s="23" t="n">
        <v>46304</v>
      </c>
      <c r="O71" s="12" t="inlineStr">
        <is>
          <t>佐々木</t>
        </is>
      </c>
      <c r="P71" s="12" t="n"/>
      <c r="Q71" s="15" t="inlineStr">
        <is>
          <t>45_テストエビデンス_API結合.xlsx／AP-030</t>
        </is>
      </c>
      <c r="R71" s="12" t="n"/>
      <c r="S71" s="12" t="n"/>
      <c r="T71" s="12" t="n"/>
    </row>
    <row r="72" ht="27" customHeight="1">
      <c r="A72" s="12" t="inlineStr">
        <is>
          <t>IT-AP030-E04</t>
        </is>
      </c>
      <c r="B72" s="12" t="inlineStr">
        <is>
          <t>AP-030 イベント申込 POST /api/applications</t>
        </is>
      </c>
      <c r="C72" s="12" t="inlineStr">
        <is>
          <t>異常系</t>
        </is>
      </c>
      <c r="D72" s="12" t="inlineStr">
        <is>
          <t>受付済の申込があるイベントには重ねて申し込めない</t>
        </is>
      </c>
      <c r="E72" s="12" t="inlineStr">
        <is>
          <t>TD-02に一般ユーザーが受付済で申込済み</t>
        </is>
      </c>
      <c r="F72" s="12" t="inlineStr">
        <is>
          <t>一般ユーザー（ID=1）で同じイベントに申し込む</t>
        </is>
      </c>
      <c r="G72" s="12" t="inlineStr">
        <is>
          <t>400「すでに申し込み済みです」（E-B-003）</t>
        </is>
      </c>
      <c r="H72" s="12" t="inlineStr">
        <is>
          <t>applicationsの一般ユーザーの行は1件のまま</t>
        </is>
      </c>
      <c r="I72" s="12" t="inlineStr">
        <is>
          <t>【操作の前と後に実行し、結果が同じことを確認する】
SELECT * FROM applications ORDER BY id;</t>
        </is>
      </c>
      <c r="J72" s="12" t="inlineStr">
        <is>
          <t>R-03</t>
        </is>
      </c>
      <c r="K72" s="12" t="inlineStr">
        <is>
          <t>手動</t>
        </is>
      </c>
      <c r="L72" s="12" t="n"/>
      <c r="M72" s="12" t="inlineStr">
        <is>
          <t>OK</t>
        </is>
      </c>
      <c r="N72" s="23" t="n">
        <v>46304</v>
      </c>
      <c r="O72" s="12" t="inlineStr">
        <is>
          <t>佐々木</t>
        </is>
      </c>
      <c r="P72" s="12" t="n"/>
      <c r="Q72" s="15" t="inlineStr">
        <is>
          <t>45_テストエビデンス_API結合.xlsx／AP-030</t>
        </is>
      </c>
      <c r="R72" s="12" t="n"/>
      <c r="S72" s="12" t="n"/>
      <c r="T72" s="12" t="n"/>
    </row>
    <row r="73" ht="27" customHeight="1">
      <c r="A73" s="12" t="inlineStr">
        <is>
          <t>IT-AP030-E05</t>
        </is>
      </c>
      <c r="B73" s="12" t="inlineStr">
        <is>
          <t>AP-030 イベント申込 POST /api/applications</t>
        </is>
      </c>
      <c r="C73" s="12" t="inlineStr">
        <is>
          <t>異常系</t>
        </is>
      </c>
      <c r="D73" s="12" t="inlineStr">
        <is>
          <t>キャンセル待ちの申込があるイベントには重ねて申し込めない</t>
        </is>
      </c>
      <c r="E73" s="12" t="inlineStr">
        <is>
          <t>TD-02にTD-05の利用者がキャンセル待ちで申込済み</t>
        </is>
      </c>
      <c r="F73" s="12" t="inlineStr">
        <is>
          <t>TD-05の利用者で同じイベントに申し込む</t>
        </is>
      </c>
      <c r="G73" s="12" t="inlineStr">
        <is>
          <t>400「すでに申し込み済みです」（E-B-003）</t>
        </is>
      </c>
      <c r="H73" s="12" t="inlineStr">
        <is>
          <t>applicationsのTD-05の利用者の行は1件のまま</t>
        </is>
      </c>
      <c r="I73" s="12" t="inlineStr">
        <is>
          <t>【操作の前と後に実行し、結果が同じことを確認する】
SELECT * FROM applications ORDER BY id;</t>
        </is>
      </c>
      <c r="J73" s="12" t="inlineStr">
        <is>
          <t>R-03</t>
        </is>
      </c>
      <c r="K73" s="12" t="inlineStr">
        <is>
          <t>手動</t>
        </is>
      </c>
      <c r="L73" s="12" t="n"/>
      <c r="M73" s="12" t="inlineStr">
        <is>
          <t>OK</t>
        </is>
      </c>
      <c r="N73" s="23" t="n">
        <v>46304</v>
      </c>
      <c r="O73" s="12" t="inlineStr">
        <is>
          <t>佐々木</t>
        </is>
      </c>
      <c r="P73" s="12" t="n"/>
      <c r="Q73" s="15" t="inlineStr">
        <is>
          <t>45_テストエビデンス_API結合.xlsx／AP-030</t>
        </is>
      </c>
      <c r="R73" s="12" t="n"/>
      <c r="S73" s="12" t="n"/>
      <c r="T73" s="12" t="n"/>
    </row>
    <row r="74" ht="27" customHeight="1">
      <c r="A74" s="12" t="inlineStr">
        <is>
          <t>IT-AP030-E06</t>
        </is>
      </c>
      <c r="B74" s="12" t="inlineStr">
        <is>
          <t>AP-030 イベント申込 POST /api/applications</t>
        </is>
      </c>
      <c r="C74" s="12" t="inlineStr">
        <is>
          <t>異常系</t>
        </is>
      </c>
      <c r="D74" s="12" t="inlineStr">
        <is>
          <t>参加区分があるイベントに区分を指定せずに申し込めない</t>
        </is>
      </c>
      <c r="E74" s="12" t="inlineStr">
        <is>
          <t>TD-01</t>
        </is>
      </c>
      <c r="F74" s="12" t="inlineStr">
        <is>
          <t>一般ユーザー（ID=1）で{"eventId": TD-01のID}（ticketTypeIdなし）</t>
        </is>
      </c>
      <c r="G74" s="12" t="inlineStr">
        <is>
          <t>400「区分を選択してください」（E-B-004）</t>
        </is>
      </c>
      <c r="H74" s="12" t="inlineStr">
        <is>
          <t>applicationsは変更されない</t>
        </is>
      </c>
      <c r="I74" s="12" t="inlineStr">
        <is>
          <t>【操作の前と後に実行し、結果が同じことを確認する】
SELECT * FROM applications ORDER BY id;</t>
        </is>
      </c>
      <c r="J74" s="12" t="inlineStr">
        <is>
          <t>C-03</t>
        </is>
      </c>
      <c r="K74" s="12" t="inlineStr">
        <is>
          <t>手動</t>
        </is>
      </c>
      <c r="L74" s="12" t="n"/>
      <c r="M74" s="12" t="inlineStr">
        <is>
          <t>OK</t>
        </is>
      </c>
      <c r="N74" s="23" t="n">
        <v>46304</v>
      </c>
      <c r="O74" s="12" t="inlineStr">
        <is>
          <t>佐々木</t>
        </is>
      </c>
      <c r="P74" s="12" t="n"/>
      <c r="Q74" s="15" t="inlineStr">
        <is>
          <t>45_テストエビデンス_API結合.xlsx／AP-030</t>
        </is>
      </c>
      <c r="R74" s="12" t="n"/>
      <c r="S74" s="12" t="n"/>
      <c r="T74" s="12" t="n"/>
    </row>
    <row r="75" ht="27" customHeight="1">
      <c r="A75" s="12" t="inlineStr">
        <is>
          <t>IT-AP030-E07</t>
        </is>
      </c>
      <c r="B75" s="12" t="inlineStr">
        <is>
          <t>AP-030 イベント申込 POST /api/applications</t>
        </is>
      </c>
      <c r="C75" s="12" t="inlineStr">
        <is>
          <t>異常系</t>
        </is>
      </c>
      <c r="D75" s="12" t="inlineStr">
        <is>
          <t>他のイベントの参加区分は指定できない</t>
        </is>
      </c>
      <c r="E75" s="12" t="inlineStr">
        <is>
          <t>TD-01、他のイベントの区分</t>
        </is>
      </c>
      <c r="F75" s="12" t="inlineStr">
        <is>
          <t>一般ユーザー（ID=1）でeventIdにTD-02、ticketTypeIdにTD-01の区分のIDを指定する</t>
        </is>
      </c>
      <c r="G75" s="12" t="inlineStr">
        <is>
          <t>404「指定された区分が見つかりません」（E-B-005）</t>
        </is>
      </c>
      <c r="H75" s="12" t="inlineStr">
        <is>
          <t>applicationsは変更されない</t>
        </is>
      </c>
      <c r="I75" s="12" t="inlineStr">
        <is>
          <t>【操作の前と後に実行し、結果が同じことを確認する】
SELECT * FROM applications ORDER BY id;</t>
        </is>
      </c>
      <c r="J75" s="12" t="inlineStr">
        <is>
          <t>32_処理詳細設計書 4章 AP-030 No.7</t>
        </is>
      </c>
      <c r="K75" s="12" t="inlineStr">
        <is>
          <t>手動</t>
        </is>
      </c>
      <c r="L75" s="12" t="n"/>
      <c r="M75" s="12" t="inlineStr">
        <is>
          <t>NG</t>
        </is>
      </c>
      <c r="N75" s="23" t="n">
        <v>46304</v>
      </c>
      <c r="O75" s="12" t="inlineStr">
        <is>
          <t>佐々木</t>
        </is>
      </c>
      <c r="P75" s="12" t="inlineStr">
        <is>
          <t>201が返り、申込が登録された（ticketTypeIdはnull、statusCode=1）。applicationsにID=2（event_id=53、user_id=1）の行が追加された
【再テスト 2026/10/09】修正後、404「指定された区分が見つかりません」が返り、applicationsは変更されなかった（利用者はID=5で実施。ID=1が退会済みのため）</t>
        </is>
      </c>
      <c r="Q75" s="15" t="inlineStr">
        <is>
          <t>45_テストエビデンス_API結合.xlsx／AP-030</t>
        </is>
      </c>
      <c r="R75" s="18" t="inlineStr">
        <is>
          <t>#18</t>
        </is>
      </c>
      <c r="S75" s="12" t="inlineStr">
        <is>
          <t>OK</t>
        </is>
      </c>
      <c r="T75" s="23" t="n">
        <v>46304</v>
      </c>
    </row>
    <row r="76" ht="27" customHeight="1">
      <c r="A76" s="12" t="inlineStr">
        <is>
          <t>IT-AP030-E08</t>
        </is>
      </c>
      <c r="B76" s="12" t="inlineStr">
        <is>
          <t>AP-030 イベント申込 POST /api/applications</t>
        </is>
      </c>
      <c r="C76" s="12" t="inlineStr">
        <is>
          <t>異常系</t>
        </is>
      </c>
      <c r="D76" s="12" t="inlineStr">
        <is>
          <t>存在しないイベントには申し込めない</t>
        </is>
      </c>
      <c r="E76" s="12" t="inlineStr">
        <is>
          <t>-</t>
        </is>
      </c>
      <c r="F76" s="12" t="inlineStr">
        <is>
          <t>一般ユーザー（ID=1）で{"eventId": 99999}</t>
        </is>
      </c>
      <c r="G76" s="12" t="inlineStr">
        <is>
          <t>404「イベントが見つかりません」（E-B-001）</t>
        </is>
      </c>
      <c r="H76" s="12" t="inlineStr">
        <is>
          <t>applicationsは変更されない</t>
        </is>
      </c>
      <c r="I76" s="12" t="inlineStr">
        <is>
          <t>【操作の前と後に実行し、結果が同じことを確認する】
SELECT * FROM applications ORDER BY id;</t>
        </is>
      </c>
      <c r="J76" s="12" t="inlineStr">
        <is>
          <t>32_処理詳細設計書 4章 AP-030 No.3</t>
        </is>
      </c>
      <c r="K76" s="12" t="inlineStr">
        <is>
          <t>手動</t>
        </is>
      </c>
      <c r="L76" s="12" t="n"/>
      <c r="M76" s="12" t="inlineStr">
        <is>
          <t>OK</t>
        </is>
      </c>
      <c r="N76" s="23" t="n">
        <v>46304</v>
      </c>
      <c r="O76" s="12" t="inlineStr">
        <is>
          <t>佐々木</t>
        </is>
      </c>
      <c r="P76" s="12" t="n"/>
      <c r="Q76" s="15" t="inlineStr">
        <is>
          <t>45_テストエビデンス_API結合.xlsx／AP-030</t>
        </is>
      </c>
      <c r="R76" s="12" t="n"/>
      <c r="S76" s="12" t="n"/>
      <c r="T76" s="12" t="n"/>
    </row>
    <row r="77" ht="27" customHeight="1">
      <c r="A77" s="12" t="inlineStr">
        <is>
          <t>IT-AP030-E09</t>
        </is>
      </c>
      <c r="B77" s="12" t="inlineStr">
        <is>
          <t>AP-030 イベント申込 POST /api/applications</t>
        </is>
      </c>
      <c r="C77" s="12" t="inlineStr">
        <is>
          <t>異常系</t>
        </is>
      </c>
      <c r="D77" s="12" t="inlineStr">
        <is>
          <t>イベントIDが未指定だと入力エラーになる</t>
        </is>
      </c>
      <c r="E77" s="12" t="inlineStr">
        <is>
          <t>-</t>
        </is>
      </c>
      <c r="F77" s="12" t="inlineStr">
        <is>
          <t>一般ユーザー（ID=1）で{}を送る</t>
        </is>
      </c>
      <c r="G77" s="12" t="inlineStr">
        <is>
          <t>400、errors[]にeventId「イベントIDを指定してください」（E-V-004）</t>
        </is>
      </c>
      <c r="H77" s="12" t="inlineStr">
        <is>
          <t>applicationsは変更されない</t>
        </is>
      </c>
      <c r="I77" s="12" t="inlineStr">
        <is>
          <t>【操作の前と後に実行し、結果が同じことを確認する】
SELECT * FROM applications ORDER BY id;</t>
        </is>
      </c>
      <c r="J77" s="12" t="inlineStr">
        <is>
          <t>E-V-004</t>
        </is>
      </c>
      <c r="K77" s="12" t="inlineStr">
        <is>
          <t>手動</t>
        </is>
      </c>
      <c r="L77" s="12" t="n"/>
      <c r="M77" s="12" t="inlineStr">
        <is>
          <t>OK</t>
        </is>
      </c>
      <c r="N77" s="23" t="n">
        <v>46304</v>
      </c>
      <c r="O77" s="12" t="inlineStr">
        <is>
          <t>佐々木</t>
        </is>
      </c>
      <c r="P77" s="12" t="n"/>
      <c r="Q77" s="15" t="inlineStr">
        <is>
          <t>45_テストエビデンス_API結合.xlsx／AP-030</t>
        </is>
      </c>
      <c r="R77" s="12" t="n"/>
      <c r="S77" s="12" t="n"/>
      <c r="T77" s="12" t="n"/>
    </row>
    <row r="78" ht="27" customHeight="1">
      <c r="A78" s="12" t="inlineStr">
        <is>
          <t>IT-AP030-E10</t>
        </is>
      </c>
      <c r="B78" s="12" t="inlineStr">
        <is>
          <t>AP-030 イベント申込 POST /api/applications</t>
        </is>
      </c>
      <c r="C78" s="12" t="inlineStr">
        <is>
          <t>異常系</t>
        </is>
      </c>
      <c r="D78" s="12" t="inlineStr">
        <is>
          <t>アンケート回答が501文字だと入力エラーになる（上限超過）</t>
        </is>
      </c>
      <c r="E78" s="12" t="inlineStr">
        <is>
          <t>TD-01</t>
        </is>
      </c>
      <c r="F78" s="12" t="inlineStr">
        <is>
          <t>一般ユーザー（ID=1）でextraAnswerを501文字にして申し込む</t>
        </is>
      </c>
      <c r="G78" s="12" t="inlineStr">
        <is>
          <t>400、errors[]にextraAnswer「500文字以内で入力してください」（E-V-006）</t>
        </is>
      </c>
      <c r="H78" s="12" t="inlineStr">
        <is>
          <t>applicationsは変更されない</t>
        </is>
      </c>
      <c r="I78" s="12" t="inlineStr">
        <is>
          <t>【操作の前と後に実行し、結果が同じことを確認する】
SELECT * FROM applications ORDER BY id;</t>
        </is>
      </c>
      <c r="J78" s="12" t="inlineStr">
        <is>
          <t>E-V-006</t>
        </is>
      </c>
      <c r="K78" s="12" t="inlineStr">
        <is>
          <t>手動</t>
        </is>
      </c>
      <c r="L78" s="12" t="n"/>
      <c r="M78" s="12" t="inlineStr">
        <is>
          <t>OK</t>
        </is>
      </c>
      <c r="N78" s="23" t="n">
        <v>46304</v>
      </c>
      <c r="O78" s="12" t="inlineStr">
        <is>
          <t>佐々木</t>
        </is>
      </c>
      <c r="P78" s="12" t="n"/>
      <c r="Q78" s="15" t="inlineStr">
        <is>
          <t>45_テストエビデンス_API結合.xlsx／AP-030</t>
        </is>
      </c>
      <c r="R78" s="12" t="n"/>
      <c r="S78" s="12" t="n"/>
      <c r="T78" s="12" t="n"/>
    </row>
    <row r="79" ht="40.5" customHeight="1">
      <c r="A79" s="12" t="inlineStr">
        <is>
          <t>IT-AP031-N01</t>
        </is>
      </c>
      <c r="B79" s="12" t="inlineStr">
        <is>
          <t>AP-031 自分の申込一覧取得 GET /api/my/applications</t>
        </is>
      </c>
      <c r="C79" s="12" t="inlineStr">
        <is>
          <t>正常系</t>
        </is>
      </c>
      <c r="D79" s="12" t="inlineStr">
        <is>
          <t>自分の申込だけが申込日時の降順で返る</t>
        </is>
      </c>
      <c r="E79" s="12" t="inlineStr">
        <is>
          <t>一般ユーザーとTD-05の利用者がそれぞれ申込を持つ</t>
        </is>
      </c>
      <c r="F79" s="12" t="inlineStr">
        <is>
          <t>一般ユーザー（ID=1）で呼ぶ</t>
        </is>
      </c>
      <c r="G79" s="12" t="inlineStr">
        <is>
          <t>200。user_id=1の申込だけがappliedAtの降順で返る</t>
        </is>
      </c>
      <c r="H79" s="12" t="inlineStr">
        <is>
          <t>-（参照のみ）</t>
        </is>
      </c>
      <c r="I79" s="12" t="inlineStr">
        <is>
          <t>-</t>
        </is>
      </c>
      <c r="J79" s="12" t="inlineStr">
        <is>
          <t>AP-031</t>
        </is>
      </c>
      <c r="K79" s="12" t="inlineStr">
        <is>
          <t>自動</t>
        </is>
      </c>
      <c r="L79" s="12" t="inlineStr">
        <is>
          <t>ap031_自分の申込一覧取得</t>
        </is>
      </c>
      <c r="M79" s="12" t="inlineStr">
        <is>
          <t>OK</t>
        </is>
      </c>
      <c r="N79" s="23" t="n">
        <v>46302</v>
      </c>
      <c r="O79" s="12" t="inlineStr">
        <is>
          <t>佐々木（Claude Code）</t>
        </is>
      </c>
      <c r="P79" s="12" t="inlineStr">
        <is>
          <t>自動テスト成功</t>
        </is>
      </c>
      <c r="Q79" s="12" t="inlineStr">
        <is>
          <t>evidence/IT/IT_API結合_結果一覧_20261007.txt</t>
        </is>
      </c>
      <c r="R79" s="12" t="n"/>
      <c r="S79" s="12" t="n"/>
      <c r="T79" s="12" t="n"/>
    </row>
    <row r="80" ht="40.5" customHeight="1">
      <c r="A80" s="12" t="inlineStr">
        <is>
          <t>IT-AP031-N02</t>
        </is>
      </c>
      <c r="B80" s="12" t="inlineStr">
        <is>
          <t>AP-031 自分の申込一覧取得 GET /api/my/applications</t>
        </is>
      </c>
      <c r="C80" s="12" t="inlineStr">
        <is>
          <t>正常系</t>
        </is>
      </c>
      <c r="D80" s="12" t="inlineStr">
        <is>
          <t>キャンセル待ちの申込には順位が返る</t>
        </is>
      </c>
      <c r="E80" s="12" t="inlineStr">
        <is>
          <t>TD-02にTD-05の利用者がキャンセル待ち1番目で申込済み</t>
        </is>
      </c>
      <c r="F80" s="12" t="inlineStr">
        <is>
          <t>TD-05の利用者で呼ぶ</t>
        </is>
      </c>
      <c r="G80" s="12" t="inlineStr">
        <is>
          <t>対象の要素のstatusCode=2、waitlistRank=1</t>
        </is>
      </c>
      <c r="H80" s="12" t="inlineStr">
        <is>
          <t>-（参照のみ）</t>
        </is>
      </c>
      <c r="I80" s="12" t="inlineStr">
        <is>
          <t>-</t>
        </is>
      </c>
      <c r="J80" s="12" t="inlineStr">
        <is>
          <t>10_要件定義書 7章「キャンセル待ち順位」</t>
        </is>
      </c>
      <c r="K80" s="12" t="inlineStr">
        <is>
          <t>手動</t>
        </is>
      </c>
      <c r="L80" s="12" t="n"/>
      <c r="M80" s="12" t="inlineStr">
        <is>
          <t>OK</t>
        </is>
      </c>
      <c r="N80" s="23" t="n">
        <v>46304</v>
      </c>
      <c r="O80" s="12" t="inlineStr">
        <is>
          <t>佐々木</t>
        </is>
      </c>
      <c r="P80" s="12" t="n"/>
      <c r="Q80" s="15" t="inlineStr">
        <is>
          <t>45_テストエビデンス_API結合.xlsx／AP-031</t>
        </is>
      </c>
      <c r="R80" s="12" t="n"/>
      <c r="S80" s="12" t="n"/>
      <c r="T80" s="12" t="n"/>
    </row>
    <row r="81" ht="40.5" customHeight="1">
      <c r="A81" s="12" t="inlineStr">
        <is>
          <t>IT-AP031-N03</t>
        </is>
      </c>
      <c r="B81" s="12" t="inlineStr">
        <is>
          <t>AP-031 自分の申込一覧取得 GET /api/my/applications</t>
        </is>
      </c>
      <c r="C81" s="12" t="inlineStr">
        <is>
          <t>正常系</t>
        </is>
      </c>
      <c r="D81" s="12" t="inlineStr">
        <is>
          <t>受付済の申込には順位が返らない</t>
        </is>
      </c>
      <c r="E81" s="12" t="inlineStr">
        <is>
          <t>TD-02に一般ユーザーが受付済で申込済み</t>
        </is>
      </c>
      <c r="F81" s="12" t="inlineStr">
        <is>
          <t>一般ユーザー（ID=1）で呼ぶ</t>
        </is>
      </c>
      <c r="G81" s="12" t="inlineStr">
        <is>
          <t>対象の要素のstatusCode=1、waitlistRank=null</t>
        </is>
      </c>
      <c r="H81" s="12" t="inlineStr">
        <is>
          <t>-（参照のみ）</t>
        </is>
      </c>
      <c r="I81" s="12" t="inlineStr">
        <is>
          <t>-</t>
        </is>
      </c>
      <c r="J81" s="12" t="inlineStr">
        <is>
          <t>AP-031</t>
        </is>
      </c>
      <c r="K81" s="12" t="inlineStr">
        <is>
          <t>手動</t>
        </is>
      </c>
      <c r="L81" s="12" t="n"/>
      <c r="M81" s="12" t="inlineStr">
        <is>
          <t>OK</t>
        </is>
      </c>
      <c r="N81" s="23" t="n">
        <v>46304</v>
      </c>
      <c r="O81" s="12" t="inlineStr">
        <is>
          <t>佐々木</t>
        </is>
      </c>
      <c r="P81" s="12" t="n"/>
      <c r="Q81" s="15" t="inlineStr">
        <is>
          <t>45_テストエビデンス_API結合.xlsx／AP-031</t>
        </is>
      </c>
      <c r="R81" s="12" t="n"/>
      <c r="S81" s="12" t="n"/>
      <c r="T81" s="12" t="n"/>
    </row>
    <row r="82" ht="40.5" customHeight="1">
      <c r="A82" s="12" t="inlineStr">
        <is>
          <t>IT-AP032-N01</t>
        </is>
      </c>
      <c r="B82" s="12" t="inlineStr">
        <is>
          <t>AP-032 申込キャンセル DELETE /api/applications/{id}</t>
        </is>
      </c>
      <c r="C82" s="12" t="inlineStr">
        <is>
          <t>正常系</t>
        </is>
      </c>
      <c r="D82" s="12" t="inlineStr">
        <is>
          <t>本人の受付済の申込をキャンセルできる</t>
        </is>
      </c>
      <c r="E82" s="12" t="inlineStr">
        <is>
          <t>TD-02に一般ユーザーが受付済で申込済み</t>
        </is>
      </c>
      <c r="F82" s="12" t="inlineStr">
        <is>
          <t>一般ユーザー（ID=1）でその申込のIDを指定する</t>
        </is>
      </c>
      <c r="G82" s="12" t="inlineStr">
        <is>
          <t>204</t>
        </is>
      </c>
      <c r="H82" s="12" t="inlineStr">
        <is>
          <t>対象の行は削除されず、status_codeが9（キャンセル済）になる</t>
        </is>
      </c>
      <c r="I82" s="12" t="inlineStr">
        <is>
          <t>-</t>
        </is>
      </c>
      <c r="J82" s="12" t="inlineStr">
        <is>
          <t>R-04</t>
        </is>
      </c>
      <c r="K82" s="12" t="inlineStr">
        <is>
          <t>自動</t>
        </is>
      </c>
      <c r="L82" s="12" t="inlineStr">
        <is>
          <t>ap032_申込をキャンセルできる</t>
        </is>
      </c>
      <c r="M82" s="12" t="inlineStr">
        <is>
          <t>OK</t>
        </is>
      </c>
      <c r="N82" s="23" t="n">
        <v>46302</v>
      </c>
      <c r="O82" s="12" t="inlineStr">
        <is>
          <t>佐々木（Claude Code）</t>
        </is>
      </c>
      <c r="P82" s="12" t="inlineStr">
        <is>
          <t>自動テスト成功</t>
        </is>
      </c>
      <c r="Q82" s="12" t="inlineStr">
        <is>
          <t>evidence/IT/IT_API結合_結果一覧_20261007.txt</t>
        </is>
      </c>
      <c r="R82" s="12" t="n"/>
      <c r="S82" s="12" t="n"/>
      <c r="T82" s="12" t="n"/>
    </row>
    <row r="83" ht="40.5" customHeight="1">
      <c r="A83" s="12" t="inlineStr">
        <is>
          <t>IT-AP032-N02</t>
        </is>
      </c>
      <c r="B83" s="12" t="inlineStr">
        <is>
          <t>AP-032 申込キャンセル DELETE /api/applications/{id}</t>
        </is>
      </c>
      <c r="C83" s="12" t="inlineStr">
        <is>
          <t>正常系</t>
        </is>
      </c>
      <c r="D83" s="12" t="inlineStr">
        <is>
          <t>本人のキャンセル待ちの申込をキャンセルできる</t>
        </is>
      </c>
      <c r="E83" s="12" t="inlineStr">
        <is>
          <t>TD-02にTD-05の利用者がキャンセル待ちで申込済み</t>
        </is>
      </c>
      <c r="F83" s="12" t="inlineStr">
        <is>
          <t>TD-05の利用者でその申込のIDを指定する</t>
        </is>
      </c>
      <c r="G83" s="12" t="inlineStr">
        <is>
          <t>204</t>
        </is>
      </c>
      <c r="H83" s="12" t="inlineStr">
        <is>
          <t>対象の行のstatus_codeが9になる。他の申込のstatus_codeは変わらない</t>
        </is>
      </c>
      <c r="I83" s="12" t="inlineStr">
        <is>
          <t>【操作の前と後に実行し、期待結果のとおりであることを確認する】
SELECT id, event_id, user_id, ticket_type_id, status_code, extra_answer, checked_in_at, updated_at FROM applications ORDER BY id;</t>
        </is>
      </c>
      <c r="J83" s="12" t="inlineStr">
        <is>
          <t>R-04、R-05</t>
        </is>
      </c>
      <c r="K83" s="12" t="inlineStr">
        <is>
          <t>手動</t>
        </is>
      </c>
      <c r="L83" s="12" t="n"/>
      <c r="M83" s="12" t="inlineStr">
        <is>
          <t>OK</t>
        </is>
      </c>
      <c r="N83" s="23" t="n">
        <v>46304</v>
      </c>
      <c r="O83" s="12" t="inlineStr">
        <is>
          <t>佐々木</t>
        </is>
      </c>
      <c r="P83" s="12" t="n"/>
      <c r="Q83" s="15" t="inlineStr">
        <is>
          <t>45_テストエビデンス_API結合.xlsx／AP-032</t>
        </is>
      </c>
      <c r="R83" s="12" t="n"/>
      <c r="S83" s="12" t="n"/>
      <c r="T83" s="12" t="n"/>
    </row>
    <row r="84" ht="40.5" customHeight="1">
      <c r="A84" s="12" t="inlineStr">
        <is>
          <t>IT-AP032-N03</t>
        </is>
      </c>
      <c r="B84" s="12" t="inlineStr">
        <is>
          <t>AP-032 申込キャンセル DELETE /api/applications/{id}</t>
        </is>
      </c>
      <c r="C84" s="12" t="inlineStr">
        <is>
          <t>正常系</t>
        </is>
      </c>
      <c r="D84" s="12" t="inlineStr">
        <is>
          <t>受付済をキャンセルすると、最も古いキャンセル待ちが繰り上がる</t>
        </is>
      </c>
      <c r="E84" s="12" t="inlineStr">
        <is>
          <t>TD-02に受付済A、キャンセル待ちB（先）・C（後）がある</t>
        </is>
      </c>
      <c r="F84" s="12" t="inlineStr">
        <is>
          <t>Aの申込者でAをキャンセルする</t>
        </is>
      </c>
      <c r="G84" s="12" t="inlineStr">
        <is>
          <t>204</t>
        </is>
      </c>
      <c r="H84" s="12" t="inlineStr">
        <is>
          <t>Aのstatus_code=9、Bのstatus_code=1（受付済）、Cのstatus_code=2のまま</t>
        </is>
      </c>
      <c r="I84" s="12" t="inlineStr">
        <is>
          <t>【操作の前と後に実行し、期待結果のとおりであることを確認する】
SELECT id, event_id, user_id, ticket_type_id, status_code, extra_answer, checked_in_at, updated_at FROM applications ORDER BY id;</t>
        </is>
      </c>
      <c r="J84" s="12" t="inlineStr">
        <is>
          <t>R-05</t>
        </is>
      </c>
      <c r="K84" s="12" t="inlineStr">
        <is>
          <t>手動</t>
        </is>
      </c>
      <c r="L84" s="12" t="n"/>
      <c r="M84" s="12" t="inlineStr">
        <is>
          <t>OK</t>
        </is>
      </c>
      <c r="N84" s="23" t="n">
        <v>46304</v>
      </c>
      <c r="O84" s="12" t="inlineStr">
        <is>
          <t>佐々木</t>
        </is>
      </c>
      <c r="P84" s="12" t="n"/>
      <c r="Q84" s="15" t="inlineStr">
        <is>
          <t>45_テストエビデンス_API結合.xlsx／AP-032</t>
        </is>
      </c>
      <c r="R84" s="12" t="n"/>
      <c r="S84" s="12" t="n"/>
      <c r="T84" s="12" t="n"/>
    </row>
    <row r="85" ht="40.5" customHeight="1">
      <c r="A85" s="12" t="inlineStr">
        <is>
          <t>IT-AP032-E01</t>
        </is>
      </c>
      <c r="B85" s="12" t="inlineStr">
        <is>
          <t>AP-032 申込キャンセル DELETE /api/applications/{id}</t>
        </is>
      </c>
      <c r="C85" s="12" t="inlineStr">
        <is>
          <t>異常系</t>
        </is>
      </c>
      <c r="D85" s="12" t="inlineStr">
        <is>
          <t>他人の申込はキャンセルできない</t>
        </is>
      </c>
      <c r="E85" s="12" t="inlineStr">
        <is>
          <t>TD-02に一般ユーザーが受付済で申込済み</t>
        </is>
      </c>
      <c r="F85" s="12" t="inlineStr">
        <is>
          <t>TD-05の利用者で一般ユーザーの申込のIDを指定する</t>
        </is>
      </c>
      <c r="G85" s="12" t="inlineStr">
        <is>
          <t>403「権限がありません」（E-A-003）</t>
        </is>
      </c>
      <c r="H85" s="12" t="inlineStr">
        <is>
          <t>対象の行のstatus_codeは1のまま</t>
        </is>
      </c>
      <c r="I85" s="12" t="inlineStr">
        <is>
          <t>【操作の前と後に実行し、結果が同じことを確認する】
SELECT * FROM applications ORDER BY id;</t>
        </is>
      </c>
      <c r="J85" s="12" t="inlineStr">
        <is>
          <t>32_処理詳細設計書 4章 AP-032 No.2</t>
        </is>
      </c>
      <c r="K85" s="12" t="inlineStr">
        <is>
          <t>手動</t>
        </is>
      </c>
      <c r="L85" s="12" t="n"/>
      <c r="M85" s="12" t="inlineStr">
        <is>
          <t>OK</t>
        </is>
      </c>
      <c r="N85" s="23" t="n">
        <v>46304</v>
      </c>
      <c r="O85" s="12" t="inlineStr">
        <is>
          <t>佐々木</t>
        </is>
      </c>
      <c r="P85" s="12" t="n"/>
      <c r="Q85" s="15" t="inlineStr">
        <is>
          <t>45_テストエビデンス_API結合.xlsx／AP-032</t>
        </is>
      </c>
      <c r="R85" s="12" t="n"/>
      <c r="S85" s="12" t="n"/>
      <c r="T85" s="12" t="n"/>
    </row>
    <row r="86" ht="40.5" customHeight="1">
      <c r="A86" s="12" t="inlineStr">
        <is>
          <t>IT-AP032-E02</t>
        </is>
      </c>
      <c r="B86" s="12" t="inlineStr">
        <is>
          <t>AP-032 申込キャンセル DELETE /api/applications/{id}</t>
        </is>
      </c>
      <c r="C86" s="12" t="inlineStr">
        <is>
          <t>異常系</t>
        </is>
      </c>
      <c r="D86" s="12" t="inlineStr">
        <is>
          <t>開催日時を過ぎた申込はキャンセルできない</t>
        </is>
      </c>
      <c r="E86" s="12" t="inlineStr">
        <is>
          <t>TD-04</t>
        </is>
      </c>
      <c r="F86" s="12" t="inlineStr">
        <is>
          <t>一般ユーザー（ID=1）でTD-04の申込のIDを指定する</t>
        </is>
      </c>
      <c r="G86" s="12" t="inlineStr">
        <is>
          <t>400「取消できません」（E-B-010）</t>
        </is>
      </c>
      <c r="H86" s="12" t="inlineStr">
        <is>
          <t>対象の行のstatus_codeは1のまま</t>
        </is>
      </c>
      <c r="I86" s="12" t="inlineStr">
        <is>
          <t>【操作の前と後に実行し、結果が同じことを確認する】
SELECT * FROM applications ORDER BY id;</t>
        </is>
      </c>
      <c r="J86" s="12" t="inlineStr">
        <is>
          <t>R-04</t>
        </is>
      </c>
      <c r="K86" s="12" t="inlineStr">
        <is>
          <t>手動</t>
        </is>
      </c>
      <c r="L86" s="12" t="n"/>
      <c r="M86" s="12" t="inlineStr">
        <is>
          <t>OK</t>
        </is>
      </c>
      <c r="N86" s="23" t="n">
        <v>46304</v>
      </c>
      <c r="O86" s="12" t="inlineStr">
        <is>
          <t>佐々木</t>
        </is>
      </c>
      <c r="P86" s="12" t="n"/>
      <c r="Q86" s="15" t="inlineStr">
        <is>
          <t>45_テストエビデンス_API結合.xlsx／AP-032</t>
        </is>
      </c>
      <c r="R86" s="12" t="n"/>
      <c r="S86" s="12" t="n"/>
      <c r="T86" s="12" t="n"/>
    </row>
    <row r="87" ht="40.5" customHeight="1">
      <c r="A87" s="12" t="inlineStr">
        <is>
          <t>IT-AP032-E03</t>
        </is>
      </c>
      <c r="B87" s="12" t="inlineStr">
        <is>
          <t>AP-032 申込キャンセル DELETE /api/applications/{id}</t>
        </is>
      </c>
      <c r="C87" s="12" t="inlineStr">
        <is>
          <t>異常系</t>
        </is>
      </c>
      <c r="D87" s="12" t="inlineStr">
        <is>
          <t>キャンセル済の申込は再度キャンセルできない</t>
        </is>
      </c>
      <c r="E87" s="12" t="inlineStr">
        <is>
          <t>一般ユーザーのキャンセル済の申込</t>
        </is>
      </c>
      <c r="F87" s="12" t="inlineStr">
        <is>
          <t>一般ユーザー（ID=1）でその申込のIDを指定する</t>
        </is>
      </c>
      <c r="G87" s="12" t="inlineStr">
        <is>
          <t>400「取消できません」（E-B-010）</t>
        </is>
      </c>
      <c r="H87" s="12" t="inlineStr">
        <is>
          <t>対象の行のstatus_codeは9のまま</t>
        </is>
      </c>
      <c r="I87" s="12" t="inlineStr">
        <is>
          <t>【操作の前と後に実行し、結果が同じことを確認する】
SELECT * FROM applications ORDER BY id;</t>
        </is>
      </c>
      <c r="J87" s="12" t="inlineStr">
        <is>
          <t>R-04</t>
        </is>
      </c>
      <c r="K87" s="12" t="inlineStr">
        <is>
          <t>手動</t>
        </is>
      </c>
      <c r="L87" s="12" t="n"/>
      <c r="M87" s="12" t="inlineStr">
        <is>
          <t>OK</t>
        </is>
      </c>
      <c r="N87" s="23" t="n">
        <v>46304</v>
      </c>
      <c r="O87" s="12" t="inlineStr">
        <is>
          <t>佐々木</t>
        </is>
      </c>
      <c r="P87" s="12" t="n"/>
      <c r="Q87" s="15" t="inlineStr">
        <is>
          <t>45_テストエビデンス_API結合.xlsx／AP-032</t>
        </is>
      </c>
      <c r="R87" s="12" t="n"/>
      <c r="S87" s="12" t="n"/>
      <c r="T87" s="12" t="n"/>
    </row>
    <row r="88" ht="40.5" customHeight="1">
      <c r="A88" s="12" t="inlineStr">
        <is>
          <t>IT-AP032-E04</t>
        </is>
      </c>
      <c r="B88" s="12" t="inlineStr">
        <is>
          <t>AP-032 申込キャンセル DELETE /api/applications/{id}</t>
        </is>
      </c>
      <c r="C88" s="12" t="inlineStr">
        <is>
          <t>異常系</t>
        </is>
      </c>
      <c r="D88" s="12" t="inlineStr">
        <is>
          <t>存在しない申込はキャンセルできない</t>
        </is>
      </c>
      <c r="E88" s="12" t="inlineStr">
        <is>
          <t>-</t>
        </is>
      </c>
      <c r="F88" s="12" t="inlineStr">
        <is>
          <t>一般ユーザー（ID=1）でDELETE /api/applications/99999</t>
        </is>
      </c>
      <c r="G88" s="12" t="inlineStr">
        <is>
          <t>404「申込が見つかりません」（E-B-009）</t>
        </is>
      </c>
      <c r="H88" s="12" t="inlineStr">
        <is>
          <t>applicationsは変更されない</t>
        </is>
      </c>
      <c r="I88" s="12" t="inlineStr">
        <is>
          <t>【操作の前と後に実行し、結果が同じことを確認する】
SELECT * FROM applications ORDER BY id;</t>
        </is>
      </c>
      <c r="J88" s="12" t="inlineStr">
        <is>
          <t>32_処理詳細設計書 4章 AP-032 No.1</t>
        </is>
      </c>
      <c r="K88" s="12" t="inlineStr">
        <is>
          <t>手動</t>
        </is>
      </c>
      <c r="L88" s="12" t="n"/>
      <c r="M88" s="12" t="inlineStr">
        <is>
          <t>OK</t>
        </is>
      </c>
      <c r="N88" s="23" t="n">
        <v>46304</v>
      </c>
      <c r="O88" s="12" t="inlineStr">
        <is>
          <t>佐々木</t>
        </is>
      </c>
      <c r="P88" s="12" t="n"/>
      <c r="Q88" s="15" t="inlineStr">
        <is>
          <t>45_テストエビデンス_API結合.xlsx／AP-032</t>
        </is>
      </c>
      <c r="R88" s="12" t="n"/>
      <c r="S88" s="12" t="n"/>
      <c r="T88" s="12" t="n"/>
    </row>
    <row r="89" ht="27" customHeight="1">
      <c r="A89" s="12" t="inlineStr">
        <is>
          <t>IT-AP040-N01</t>
        </is>
      </c>
      <c r="B89" s="12" t="inlineStr">
        <is>
          <t>AP-040 お気に入り登録 POST /api/favorites</t>
        </is>
      </c>
      <c r="C89" s="12" t="inlineStr">
        <is>
          <t>正常系</t>
        </is>
      </c>
      <c r="D89" s="12" t="inlineStr">
        <is>
          <t>未登録のイベントをお気に入りに登録できる</t>
        </is>
      </c>
      <c r="E89" s="12" t="inlineStr">
        <is>
          <t>TD-02（お気に入り登録なし）</t>
        </is>
      </c>
      <c r="F89" s="12" t="inlineStr">
        <is>
          <t>一般ユーザー（ID=1）で{"eventId": TD-02のID}</t>
        </is>
      </c>
      <c r="G89" s="12" t="inlineStr">
        <is>
          <t>201</t>
        </is>
      </c>
      <c r="H89" s="12" t="inlineStr">
        <is>
          <t>favoritesに1行追加される（event_id=TD-02、user_id=1）</t>
        </is>
      </c>
      <c r="I89" s="12" t="inlineStr">
        <is>
          <t>【操作の前と後に実行し、期待結果のとおりであることを確認する】
SELECT id, event_id, user_id, created_at FROM favorites ORDER BY id;</t>
        </is>
      </c>
      <c r="J89" s="12" t="inlineStr">
        <is>
          <t>AP-040</t>
        </is>
      </c>
      <c r="K89" s="12" t="inlineStr">
        <is>
          <t>手動</t>
        </is>
      </c>
      <c r="L89" s="12" t="n"/>
      <c r="M89" s="12" t="inlineStr">
        <is>
          <t>OK</t>
        </is>
      </c>
      <c r="N89" s="23" t="n">
        <v>46304</v>
      </c>
      <c r="O89" s="12" t="inlineStr">
        <is>
          <t>佐々木</t>
        </is>
      </c>
      <c r="P89" s="12" t="n"/>
      <c r="Q89" s="15" t="inlineStr">
        <is>
          <t>45_テストエビデンス_API結合.xlsx／AP-040</t>
        </is>
      </c>
      <c r="R89" s="12" t="n"/>
      <c r="S89" s="12" t="n"/>
      <c r="T89" s="12" t="n"/>
    </row>
    <row r="90" ht="27" customHeight="1">
      <c r="A90" s="12" t="inlineStr">
        <is>
          <t>IT-AP040-N02</t>
        </is>
      </c>
      <c r="B90" s="12" t="inlineStr">
        <is>
          <t>AP-040 お気に入り登録 POST /api/favorites</t>
        </is>
      </c>
      <c r="C90" s="12" t="inlineStr">
        <is>
          <t>正常系</t>
        </is>
      </c>
      <c r="D90" s="12" t="inlineStr">
        <is>
          <t>登録済みのイベントに再度登録しても重複しない</t>
        </is>
      </c>
      <c r="E90" s="12" t="inlineStr">
        <is>
          <t>TD-02を一般ユーザーがお気に入り登録済み</t>
        </is>
      </c>
      <c r="F90" s="12" t="inlineStr">
        <is>
          <t>一般ユーザー（ID=1）で同じイベントを登録する</t>
        </is>
      </c>
      <c r="G90" s="12" t="inlineStr">
        <is>
          <t>200（201ではない）</t>
        </is>
      </c>
      <c r="H90" s="12" t="inlineStr">
        <is>
          <t>favoritesの該当の行は1件のまま</t>
        </is>
      </c>
      <c r="I90" s="12" t="inlineStr">
        <is>
          <t>【操作の前と後に実行し、結果が同じことを確認する】
SELECT * FROM favorites ORDER BY id;</t>
        </is>
      </c>
      <c r="J90" s="12" t="inlineStr">
        <is>
          <t>R-12</t>
        </is>
      </c>
      <c r="K90" s="12" t="inlineStr">
        <is>
          <t>手動</t>
        </is>
      </c>
      <c r="L90" s="12" t="n"/>
      <c r="M90" s="12" t="inlineStr">
        <is>
          <t>OK</t>
        </is>
      </c>
      <c r="N90" s="23" t="n">
        <v>46304</v>
      </c>
      <c r="O90" s="12" t="inlineStr">
        <is>
          <t>佐々木</t>
        </is>
      </c>
      <c r="P90" s="12" t="n"/>
      <c r="Q90" s="15" t="inlineStr">
        <is>
          <t>45_テストエビデンス_API結合.xlsx／AP-040</t>
        </is>
      </c>
      <c r="R90" s="12" t="n"/>
      <c r="S90" s="12" t="n"/>
      <c r="T90" s="12" t="n"/>
    </row>
    <row r="91" ht="27" customHeight="1">
      <c r="A91" s="12" t="inlineStr">
        <is>
          <t>IT-AP040-E01</t>
        </is>
      </c>
      <c r="B91" s="12" t="inlineStr">
        <is>
          <t>AP-040 お気に入り登録 POST /api/favorites</t>
        </is>
      </c>
      <c r="C91" s="12" t="inlineStr">
        <is>
          <t>異常系</t>
        </is>
      </c>
      <c r="D91" s="12" t="inlineStr">
        <is>
          <t>存在しないイベントは登録できない</t>
        </is>
      </c>
      <c r="E91" s="12" t="inlineStr">
        <is>
          <t>-</t>
        </is>
      </c>
      <c r="F91" s="12" t="inlineStr">
        <is>
          <t>一般ユーザー（ID=1）で{"eventId": 99999}</t>
        </is>
      </c>
      <c r="G91" s="12" t="inlineStr">
        <is>
          <t>404「イベントが見つかりません」（E-B-001）</t>
        </is>
      </c>
      <c r="H91" s="12" t="inlineStr">
        <is>
          <t>favoritesは変更されない</t>
        </is>
      </c>
      <c r="I91" s="12" t="inlineStr">
        <is>
          <t>【操作の前と後に実行し、結果が同じことを確認する】
SELECT * FROM favorites ORDER BY id;</t>
        </is>
      </c>
      <c r="J91" s="12" t="inlineStr">
        <is>
          <t>AP-040</t>
        </is>
      </c>
      <c r="K91" s="12" t="inlineStr">
        <is>
          <t>手動</t>
        </is>
      </c>
      <c r="L91" s="12" t="n"/>
      <c r="M91" s="12" t="inlineStr">
        <is>
          <t>OK</t>
        </is>
      </c>
      <c r="N91" s="23" t="n">
        <v>46304</v>
      </c>
      <c r="O91" s="12" t="inlineStr">
        <is>
          <t>佐々木</t>
        </is>
      </c>
      <c r="P91" s="12" t="n"/>
      <c r="Q91" s="15" t="inlineStr">
        <is>
          <t>45_テストエビデンス_API結合.xlsx／AP-040</t>
        </is>
      </c>
      <c r="R91" s="12" t="n"/>
      <c r="S91" s="12" t="n"/>
      <c r="T91" s="12" t="n"/>
    </row>
    <row r="92" ht="27" customHeight="1">
      <c r="A92" s="12" t="inlineStr">
        <is>
          <t>IT-AP040-E02</t>
        </is>
      </c>
      <c r="B92" s="12" t="inlineStr">
        <is>
          <t>AP-040 お気に入り登録 POST /api/favorites</t>
        </is>
      </c>
      <c r="C92" s="12" t="inlineStr">
        <is>
          <t>異常系</t>
        </is>
      </c>
      <c r="D92" s="12" t="inlineStr">
        <is>
          <t>削除済みのイベントは登録できない</t>
        </is>
      </c>
      <c r="E92" s="12" t="inlineStr">
        <is>
          <t>削除済みのイベントがある</t>
        </is>
      </c>
      <c r="F92" s="12" t="inlineStr">
        <is>
          <t>一般ユーザー（ID=1）で削除済みのイベントのIDを指定する</t>
        </is>
      </c>
      <c r="G92" s="12" t="inlineStr">
        <is>
          <t>404「イベントが見つかりません」（E-B-001）</t>
        </is>
      </c>
      <c r="H92" s="12" t="inlineStr">
        <is>
          <t>favoritesは変更されない</t>
        </is>
      </c>
      <c r="I92" s="12" t="inlineStr">
        <is>
          <t>【操作の前と後に実行し、結果が同じことを確認する】
SELECT * FROM favorites ORDER BY id;</t>
        </is>
      </c>
      <c r="J92" s="12" t="inlineStr">
        <is>
          <t>AP-040</t>
        </is>
      </c>
      <c r="K92" s="12" t="inlineStr">
        <is>
          <t>手動</t>
        </is>
      </c>
      <c r="L92" s="12" t="n"/>
      <c r="M92" s="12" t="inlineStr">
        <is>
          <t>OK</t>
        </is>
      </c>
      <c r="N92" s="23" t="n">
        <v>46304</v>
      </c>
      <c r="O92" s="12" t="inlineStr">
        <is>
          <t>佐々木</t>
        </is>
      </c>
      <c r="P92" s="12" t="n"/>
      <c r="Q92" s="15" t="inlineStr">
        <is>
          <t>45_テストエビデンス_API結合.xlsx／AP-040</t>
        </is>
      </c>
      <c r="R92" s="12" t="n"/>
      <c r="S92" s="12" t="n"/>
      <c r="T92" s="12" t="n"/>
    </row>
    <row r="93" ht="27" customHeight="1">
      <c r="A93" s="12" t="inlineStr">
        <is>
          <t>IT-AP040-E03</t>
        </is>
      </c>
      <c r="B93" s="12" t="inlineStr">
        <is>
          <t>AP-040 お気に入り登録 POST /api/favorites</t>
        </is>
      </c>
      <c r="C93" s="12" t="inlineStr">
        <is>
          <t>異常系</t>
        </is>
      </c>
      <c r="D93" s="12" t="inlineStr">
        <is>
          <t>イベントIDが未指定だと入力エラーになる</t>
        </is>
      </c>
      <c r="E93" s="12" t="inlineStr">
        <is>
          <t>-</t>
        </is>
      </c>
      <c r="F93" s="12" t="inlineStr">
        <is>
          <t>一般ユーザー（ID=1）で{}を送る</t>
        </is>
      </c>
      <c r="G93" s="12" t="inlineStr">
        <is>
          <t>400、errors[]にeventId「イベントIDを指定してください」（E-V-007）</t>
        </is>
      </c>
      <c r="H93" s="12" t="inlineStr">
        <is>
          <t>favoritesは変更されない</t>
        </is>
      </c>
      <c r="I93" s="12" t="inlineStr">
        <is>
          <t>【操作の前と後に実行し、結果が同じことを確認する】
SELECT * FROM favorites ORDER BY id;</t>
        </is>
      </c>
      <c r="J93" s="12" t="inlineStr">
        <is>
          <t>E-V-007</t>
        </is>
      </c>
      <c r="K93" s="12" t="inlineStr">
        <is>
          <t>手動</t>
        </is>
      </c>
      <c r="L93" s="12" t="n"/>
      <c r="M93" s="12" t="inlineStr">
        <is>
          <t>OK</t>
        </is>
      </c>
      <c r="N93" s="23" t="n">
        <v>46304</v>
      </c>
      <c r="O93" s="12" t="inlineStr">
        <is>
          <t>佐々木</t>
        </is>
      </c>
      <c r="P93" s="12" t="n"/>
      <c r="Q93" s="15" t="inlineStr">
        <is>
          <t>45_テストエビデンス_API結合.xlsx／AP-040</t>
        </is>
      </c>
      <c r="R93" s="12" t="n"/>
      <c r="S93" s="12" t="n"/>
      <c r="T93" s="12" t="n"/>
    </row>
    <row r="94" ht="54" customHeight="1">
      <c r="A94" s="12" t="inlineStr">
        <is>
          <t>IT-AP041-N01</t>
        </is>
      </c>
      <c r="B94" s="12" t="inlineStr">
        <is>
          <t>AP-041 お気に入り解除 DELETE /api/favorites/{eventId}</t>
        </is>
      </c>
      <c r="C94" s="12" t="inlineStr">
        <is>
          <t>正常系</t>
        </is>
      </c>
      <c r="D94" s="12" t="inlineStr">
        <is>
          <t>登録済みのお気に入りを解除できる</t>
        </is>
      </c>
      <c r="E94" s="12" t="inlineStr">
        <is>
          <t>TD-02を一般ユーザーがお気に入り登録済み</t>
        </is>
      </c>
      <c r="F94" s="12" t="inlineStr">
        <is>
          <t>一般ユーザー（ID=1）でTD-02のIDを指定する</t>
        </is>
      </c>
      <c r="G94" s="12" t="inlineStr">
        <is>
          <t>204</t>
        </is>
      </c>
      <c r="H94" s="12" t="inlineStr">
        <is>
          <t>favoritesの該当の行が削除される</t>
        </is>
      </c>
      <c r="I94" s="12" t="inlineStr">
        <is>
          <t>【操作の前と後に実行し、期待結果のとおりであることを確認する】
SELECT id, event_id, user_id, created_at FROM favorites ORDER BY id;</t>
        </is>
      </c>
      <c r="J94" s="12" t="inlineStr">
        <is>
          <t>AP-041</t>
        </is>
      </c>
      <c r="K94" s="12" t="inlineStr">
        <is>
          <t>手動</t>
        </is>
      </c>
      <c r="L94" s="12" t="n"/>
      <c r="M94" s="12" t="inlineStr">
        <is>
          <t>OK</t>
        </is>
      </c>
      <c r="N94" s="23" t="n">
        <v>46304</v>
      </c>
      <c r="O94" s="12" t="inlineStr">
        <is>
          <t>佐々木</t>
        </is>
      </c>
      <c r="P94" s="12" t="n"/>
      <c r="Q94" s="15" t="inlineStr">
        <is>
          <t>45_テストエビデンス_API結合.xlsx／AP-041</t>
        </is>
      </c>
      <c r="R94" s="12" t="n"/>
      <c r="S94" s="12" t="n"/>
      <c r="T94" s="12" t="n"/>
    </row>
    <row r="95" ht="54" customHeight="1">
      <c r="A95" s="12" t="inlineStr">
        <is>
          <t>IT-AP041-N02</t>
        </is>
      </c>
      <c r="B95" s="12" t="inlineStr">
        <is>
          <t>AP-041 お気に入り解除 DELETE /api/favorites/{eventId}</t>
        </is>
      </c>
      <c r="C95" s="12" t="inlineStr">
        <is>
          <t>正常系</t>
        </is>
      </c>
      <c r="D95" s="12" t="inlineStr">
        <is>
          <t>未登録のイベントを解除してもエラーにならない</t>
        </is>
      </c>
      <c r="E95" s="12" t="inlineStr">
        <is>
          <t>TD-02（お気に入り登録なし）</t>
        </is>
      </c>
      <c r="F95" s="12" t="inlineStr">
        <is>
          <t>一般ユーザー（ID=1）でTD-02のIDを指定する</t>
        </is>
      </c>
      <c r="G95" s="12" t="inlineStr">
        <is>
          <t>204</t>
        </is>
      </c>
      <c r="H95" s="12" t="inlineStr">
        <is>
          <t>favoritesは変更されない</t>
        </is>
      </c>
      <c r="I95" s="12" t="inlineStr">
        <is>
          <t>【操作の前と後に実行し、結果が同じことを確認する】
SELECT * FROM favorites ORDER BY id;</t>
        </is>
      </c>
      <c r="J95" s="12" t="inlineStr">
        <is>
          <t>AP-041</t>
        </is>
      </c>
      <c r="K95" s="12" t="inlineStr">
        <is>
          <t>手動</t>
        </is>
      </c>
      <c r="L95" s="12" t="n"/>
      <c r="M95" s="12" t="inlineStr">
        <is>
          <t>OK</t>
        </is>
      </c>
      <c r="N95" s="23" t="n">
        <v>46304</v>
      </c>
      <c r="O95" s="12" t="inlineStr">
        <is>
          <t>佐々木</t>
        </is>
      </c>
      <c r="P95" s="12" t="n"/>
      <c r="Q95" s="15" t="inlineStr">
        <is>
          <t>45_テストエビデンス_API結合.xlsx／AP-041</t>
        </is>
      </c>
      <c r="R95" s="12" t="n"/>
      <c r="S95" s="12" t="n"/>
      <c r="T95" s="12" t="n"/>
    </row>
    <row r="96" ht="40.5" customHeight="1">
      <c r="A96" s="12" t="inlineStr">
        <is>
          <t>IT-AP042-N01</t>
        </is>
      </c>
      <c r="B96" s="12" t="inlineStr">
        <is>
          <t>AP-042 お気に入り一覧取得 GET /api/my/favorites</t>
        </is>
      </c>
      <c r="C96" s="12" t="inlineStr">
        <is>
          <t>正常系</t>
        </is>
      </c>
      <c r="D96" s="12" t="inlineStr">
        <is>
          <t>自分のお気に入りが登録日時の降順で返る</t>
        </is>
      </c>
      <c r="E96" s="12" t="inlineStr">
        <is>
          <t>一般ユーザーが2件お気に入り登録している</t>
        </is>
      </c>
      <c r="F96" s="12" t="inlineStr">
        <is>
          <t>一般ユーザー（ID=1）で呼ぶ</t>
        </is>
      </c>
      <c r="G96" s="12" t="inlineStr">
        <is>
          <t>200。2件がfavoritedAtの降順で返る</t>
        </is>
      </c>
      <c r="H96" s="12" t="inlineStr">
        <is>
          <t>-（参照のみ）</t>
        </is>
      </c>
      <c r="I96" s="12" t="inlineStr">
        <is>
          <t>-</t>
        </is>
      </c>
      <c r="J96" s="12" t="inlineStr">
        <is>
          <t>AP-042</t>
        </is>
      </c>
      <c r="K96" s="12" t="inlineStr">
        <is>
          <t>手動</t>
        </is>
      </c>
      <c r="L96" s="12" t="n"/>
      <c r="M96" s="12" t="inlineStr">
        <is>
          <t>OK</t>
        </is>
      </c>
      <c r="N96" s="23" t="n">
        <v>46304</v>
      </c>
      <c r="O96" s="12" t="inlineStr">
        <is>
          <t>佐々木</t>
        </is>
      </c>
      <c r="P96" s="12" t="n"/>
      <c r="Q96" s="15" t="inlineStr">
        <is>
          <t>45_テストエビデンス_API結合.xlsx／AP-042</t>
        </is>
      </c>
      <c r="R96" s="12" t="n"/>
      <c r="S96" s="12" t="n"/>
      <c r="T96" s="12" t="n"/>
    </row>
    <row r="97" ht="40.5" customHeight="1">
      <c r="A97" s="12" t="inlineStr">
        <is>
          <t>IT-AP042-N02</t>
        </is>
      </c>
      <c r="B97" s="12" t="inlineStr">
        <is>
          <t>AP-042 お気に入り一覧取得 GET /api/my/favorites</t>
        </is>
      </c>
      <c r="C97" s="12" t="inlineStr">
        <is>
          <t>正常系</t>
        </is>
      </c>
      <c r="D97" s="12" t="inlineStr">
        <is>
          <t>削除済みのイベントへの登録も一覧に含まれる</t>
        </is>
      </c>
      <c r="E97" s="12" t="inlineStr">
        <is>
          <t>お気に入り登録したイベントが削除されている</t>
        </is>
      </c>
      <c r="F97" s="12" t="inlineStr">
        <is>
          <t>一般ユーザー（ID=1）で呼ぶ</t>
        </is>
      </c>
      <c r="G97" s="12" t="inlineStr">
        <is>
          <t>200。削除済みのイベントも含まれる</t>
        </is>
      </c>
      <c r="H97" s="12" t="inlineStr">
        <is>
          <t>-（参照のみ）</t>
        </is>
      </c>
      <c r="I97" s="12" t="inlineStr">
        <is>
          <t>-</t>
        </is>
      </c>
      <c r="J97" s="12" t="inlineStr">
        <is>
          <t>AP-042</t>
        </is>
      </c>
      <c r="K97" s="12" t="inlineStr">
        <is>
          <t>手動</t>
        </is>
      </c>
      <c r="L97" s="12" t="n"/>
      <c r="M97" s="12" t="inlineStr">
        <is>
          <t>OK</t>
        </is>
      </c>
      <c r="N97" s="23" t="n">
        <v>46304</v>
      </c>
      <c r="O97" s="12" t="inlineStr">
        <is>
          <t>佐々木</t>
        </is>
      </c>
      <c r="P97" s="12" t="n"/>
      <c r="Q97" s="15" t="inlineStr">
        <is>
          <t>45_テストエビデンス_API結合.xlsx／AP-042</t>
        </is>
      </c>
      <c r="R97" s="12" t="n"/>
      <c r="S97" s="12" t="n"/>
      <c r="T97" s="12" t="n"/>
    </row>
    <row r="98" ht="40.5" customHeight="1">
      <c r="A98" s="12" t="inlineStr">
        <is>
          <t>IT-AP042-N03</t>
        </is>
      </c>
      <c r="B98" s="12" t="inlineStr">
        <is>
          <t>AP-042 お気に入り一覧取得 GET /api/my/favorites</t>
        </is>
      </c>
      <c r="C98" s="12" t="inlineStr">
        <is>
          <t>正常系</t>
        </is>
      </c>
      <c r="D98" s="12" t="inlineStr">
        <is>
          <t>お気に入りが無い場合は空の配列が返る</t>
        </is>
      </c>
      <c r="E98" s="12" t="inlineStr">
        <is>
          <t>一般ユーザーのお気に入り登録なし</t>
        </is>
      </c>
      <c r="F98" s="12" t="inlineStr">
        <is>
          <t>一般ユーザー（ID=1）で呼ぶ</t>
        </is>
      </c>
      <c r="G98" s="12" t="inlineStr">
        <is>
          <t>200、[]</t>
        </is>
      </c>
      <c r="H98" s="12" t="inlineStr">
        <is>
          <t>-（参照のみ）</t>
        </is>
      </c>
      <c r="I98" s="12" t="inlineStr">
        <is>
          <t>-</t>
        </is>
      </c>
      <c r="J98" s="12" t="inlineStr">
        <is>
          <t>AP-042</t>
        </is>
      </c>
      <c r="K98" s="12" t="inlineStr">
        <is>
          <t>手動</t>
        </is>
      </c>
      <c r="L98" s="12" t="n"/>
      <c r="M98" s="12" t="inlineStr">
        <is>
          <t>OK</t>
        </is>
      </c>
      <c r="N98" s="23" t="n">
        <v>46304</v>
      </c>
      <c r="O98" s="12" t="inlineStr">
        <is>
          <t>佐々木</t>
        </is>
      </c>
      <c r="P98" s="12" t="n"/>
      <c r="Q98" s="15" t="inlineStr">
        <is>
          <t>45_テストエビデンス_API結合.xlsx／AP-042</t>
        </is>
      </c>
      <c r="R98" s="12" t="n"/>
      <c r="S98" s="12" t="n"/>
      <c r="T98" s="12" t="n"/>
    </row>
    <row r="99" ht="54" customHeight="1">
      <c r="A99" s="12" t="inlineStr">
        <is>
          <t>IT-AP050-N01</t>
        </is>
      </c>
      <c r="B99" s="12" t="inlineStr">
        <is>
          <t>AP-050 コメント一覧取得 GET /api/events/{id}/comments</t>
        </is>
      </c>
      <c r="C99" s="12" t="inlineStr">
        <is>
          <t>正常系</t>
        </is>
      </c>
      <c r="D99" s="12" t="inlineStr">
        <is>
          <t>コメントと返信が投稿日時の昇順で、1階層の配列で返る</t>
        </is>
      </c>
      <c r="E99" s="12" t="inlineStr">
        <is>
          <t>イベントにコメントと、その返信がある</t>
        </is>
      </c>
      <c r="F99" s="12" t="inlineStr">
        <is>
          <t>一般ユーザー（ID=1）でイベントのIDを指定する</t>
        </is>
      </c>
      <c r="G99" s="12" t="inlineStr">
        <is>
          <t>200。createdAtの昇順。返信のparentCommentIdが親コメントのid</t>
        </is>
      </c>
      <c r="H99" s="12" t="inlineStr">
        <is>
          <t>-（参照のみ）</t>
        </is>
      </c>
      <c r="I99" s="12" t="inlineStr">
        <is>
          <t>-</t>
        </is>
      </c>
      <c r="J99" s="12" t="inlineStr">
        <is>
          <t>AP-050</t>
        </is>
      </c>
      <c r="K99" s="12" t="inlineStr">
        <is>
          <t>手動</t>
        </is>
      </c>
      <c r="L99" s="12" t="n"/>
      <c r="M99" s="12" t="inlineStr">
        <is>
          <t>OK</t>
        </is>
      </c>
      <c r="N99" s="23" t="n">
        <v>46304</v>
      </c>
      <c r="O99" s="12" t="inlineStr">
        <is>
          <t>佐々木</t>
        </is>
      </c>
      <c r="P99" s="12" t="n"/>
      <c r="Q99" s="15" t="inlineStr">
        <is>
          <t>45_テストエビデンス_API結合.xlsx／AP-050</t>
        </is>
      </c>
      <c r="R99" s="12" t="n"/>
      <c r="S99" s="12" t="n"/>
      <c r="T99" s="12" t="n"/>
    </row>
    <row r="100" ht="54" customHeight="1">
      <c r="A100" s="12" t="inlineStr">
        <is>
          <t>IT-AP050-N02</t>
        </is>
      </c>
      <c r="B100" s="12" t="inlineStr">
        <is>
          <t>AP-050 コメント一覧取得 GET /api/events/{id}/comments</t>
        </is>
      </c>
      <c r="C100" s="12" t="inlineStr">
        <is>
          <t>正常系</t>
        </is>
      </c>
      <c r="D100" s="12" t="inlineStr">
        <is>
          <t>論理削除済みのコメントは固定の文言で返る</t>
        </is>
      </c>
      <c r="E100" s="12" t="inlineStr">
        <is>
          <t>返信のあるコメントが削除されている</t>
        </is>
      </c>
      <c r="F100" s="12" t="inlineStr">
        <is>
          <t>一般ユーザー（ID=1）で呼ぶ</t>
        </is>
      </c>
      <c r="G100" s="12" t="inlineStr">
        <is>
          <t>対象の要素のdeleted=true、body=「このコメントは削除されました」</t>
        </is>
      </c>
      <c r="H100" s="12" t="inlineStr">
        <is>
          <t>-（参照のみ）</t>
        </is>
      </c>
      <c r="I100" s="12" t="inlineStr">
        <is>
          <t>-</t>
        </is>
      </c>
      <c r="J100" s="12" t="inlineStr">
        <is>
          <t>AP-050</t>
        </is>
      </c>
      <c r="K100" s="12" t="inlineStr">
        <is>
          <t>手動</t>
        </is>
      </c>
      <c r="L100" s="12" t="n"/>
      <c r="M100" s="12" t="inlineStr">
        <is>
          <t>OK</t>
        </is>
      </c>
      <c r="N100" s="23" t="n">
        <v>46304</v>
      </c>
      <c r="O100" s="12" t="inlineStr">
        <is>
          <t>佐々木</t>
        </is>
      </c>
      <c r="P100" s="12" t="n"/>
      <c r="Q100" s="15" t="inlineStr">
        <is>
          <t>45_テストエビデンス_API結合.xlsx／AP-050</t>
        </is>
      </c>
      <c r="R100" s="12" t="n"/>
      <c r="S100" s="12" t="n"/>
      <c r="T100" s="12" t="n"/>
    </row>
    <row r="101" ht="54" customHeight="1">
      <c r="A101" s="12" t="inlineStr">
        <is>
          <t>IT-AP050-N03</t>
        </is>
      </c>
      <c r="B101" s="12" t="inlineStr">
        <is>
          <t>AP-050 コメント一覧取得 GET /api/events/{id}/comments</t>
        </is>
      </c>
      <c r="C101" s="12" t="inlineStr">
        <is>
          <t>正常系</t>
        </is>
      </c>
      <c r="D101" s="12" t="inlineStr">
        <is>
          <t>自分の投稿はmineがtrueで返る</t>
        </is>
      </c>
      <c r="E101" s="12" t="inlineStr">
        <is>
          <t>一般ユーザーが投稿したコメントがある</t>
        </is>
      </c>
      <c r="F101" s="12" t="inlineStr">
        <is>
          <t>一般ユーザー（ID=1）で呼ぶ</t>
        </is>
      </c>
      <c r="G101" s="12" t="inlineStr">
        <is>
          <t>対象の要素のmine=true</t>
        </is>
      </c>
      <c r="H101" s="12" t="inlineStr">
        <is>
          <t>-（参照のみ）</t>
        </is>
      </c>
      <c r="I101" s="12" t="inlineStr">
        <is>
          <t>-</t>
        </is>
      </c>
      <c r="J101" s="12" t="inlineStr">
        <is>
          <t>AP-050</t>
        </is>
      </c>
      <c r="K101" s="12" t="inlineStr">
        <is>
          <t>手動</t>
        </is>
      </c>
      <c r="L101" s="12" t="n"/>
      <c r="M101" s="12" t="inlineStr">
        <is>
          <t>OK</t>
        </is>
      </c>
      <c r="N101" s="23" t="n">
        <v>46304</v>
      </c>
      <c r="O101" s="12" t="inlineStr">
        <is>
          <t>佐々木</t>
        </is>
      </c>
      <c r="P101" s="12" t="n"/>
      <c r="Q101" s="15" t="inlineStr">
        <is>
          <t>45_テストエビデンス_API結合.xlsx／AP-050</t>
        </is>
      </c>
      <c r="R101" s="12" t="n"/>
      <c r="S101" s="12" t="n"/>
      <c r="T101" s="12" t="n"/>
    </row>
    <row r="102" ht="54" customHeight="1">
      <c r="A102" s="12" t="inlineStr">
        <is>
          <t>IT-AP050-N04</t>
        </is>
      </c>
      <c r="B102" s="12" t="inlineStr">
        <is>
          <t>AP-050 コメント一覧取得 GET /api/events/{id}/comments</t>
        </is>
      </c>
      <c r="C102" s="12" t="inlineStr">
        <is>
          <t>正常系</t>
        </is>
      </c>
      <c r="D102" s="12" t="inlineStr">
        <is>
          <t>他人の投稿はmineがfalseで返る</t>
        </is>
      </c>
      <c r="E102" s="12" t="inlineStr">
        <is>
          <t>一般ユーザーが投稿したコメントがある</t>
        </is>
      </c>
      <c r="F102" s="12" t="inlineStr">
        <is>
          <t>TD-05の利用者で呼ぶ</t>
        </is>
      </c>
      <c r="G102" s="12" t="inlineStr">
        <is>
          <t>対象の要素のmine=false</t>
        </is>
      </c>
      <c r="H102" s="12" t="inlineStr">
        <is>
          <t>-（参照のみ）</t>
        </is>
      </c>
      <c r="I102" s="12" t="inlineStr">
        <is>
          <t>-</t>
        </is>
      </c>
      <c r="J102" s="12" t="inlineStr">
        <is>
          <t>AP-050</t>
        </is>
      </c>
      <c r="K102" s="12" t="inlineStr">
        <is>
          <t>手動</t>
        </is>
      </c>
      <c r="L102" s="12" t="n"/>
      <c r="M102" s="12" t="inlineStr">
        <is>
          <t>OK</t>
        </is>
      </c>
      <c r="N102" s="23" t="n">
        <v>46304</v>
      </c>
      <c r="O102" s="12" t="inlineStr">
        <is>
          <t>佐々木</t>
        </is>
      </c>
      <c r="P102" s="12" t="n"/>
      <c r="Q102" s="15" t="inlineStr">
        <is>
          <t>45_テストエビデンス_API結合.xlsx／AP-050</t>
        </is>
      </c>
      <c r="R102" s="12" t="n"/>
      <c r="S102" s="12" t="n"/>
      <c r="T102" s="12" t="n"/>
    </row>
    <row r="103" ht="54" customHeight="1">
      <c r="A103" s="12" t="inlineStr">
        <is>
          <t>IT-AP050-E01</t>
        </is>
      </c>
      <c r="B103" s="12" t="inlineStr">
        <is>
          <t>AP-050 コメント一覧取得 GET /api/events/{id}/comments</t>
        </is>
      </c>
      <c r="C103" s="12" t="inlineStr">
        <is>
          <t>異常系</t>
        </is>
      </c>
      <c r="D103" s="12" t="inlineStr">
        <is>
          <t>存在しないイベントのコメントは取得できない</t>
        </is>
      </c>
      <c r="E103" s="12" t="inlineStr">
        <is>
          <t>-</t>
        </is>
      </c>
      <c r="F103" s="12" t="inlineStr">
        <is>
          <t>一般ユーザー（ID=1）でGET /api/events/99999/comments</t>
        </is>
      </c>
      <c r="G103" s="12" t="inlineStr">
        <is>
          <t>404「イベントが見つかりません」（E-B-001）</t>
        </is>
      </c>
      <c r="H103" s="12" t="inlineStr">
        <is>
          <t>-（参照のみ）</t>
        </is>
      </c>
      <c r="I103" s="12" t="inlineStr">
        <is>
          <t>-</t>
        </is>
      </c>
      <c r="J103" s="12" t="inlineStr">
        <is>
          <t>AP-050</t>
        </is>
      </c>
      <c r="K103" s="12" t="inlineStr">
        <is>
          <t>手動</t>
        </is>
      </c>
      <c r="L103" s="12" t="n"/>
      <c r="M103" s="12" t="inlineStr">
        <is>
          <t>OK</t>
        </is>
      </c>
      <c r="N103" s="23" t="n">
        <v>46304</v>
      </c>
      <c r="O103" s="12" t="inlineStr">
        <is>
          <t>佐々木</t>
        </is>
      </c>
      <c r="P103" s="12" t="n"/>
      <c r="Q103" s="15" t="inlineStr">
        <is>
          <t>45_テストエビデンス_API結合.xlsx／AP-050</t>
        </is>
      </c>
      <c r="R103" s="12" t="n"/>
      <c r="S103" s="12" t="n"/>
      <c r="T103" s="12" t="n"/>
    </row>
    <row r="104" ht="54" customHeight="1">
      <c r="A104" s="12" t="inlineStr">
        <is>
          <t>IT-AP051-N01</t>
        </is>
      </c>
      <c r="B104" s="12" t="inlineStr">
        <is>
          <t>AP-051 コメント投稿・返信 POST /api/events/{id}/comments</t>
        </is>
      </c>
      <c r="C104" s="12" t="inlineStr">
        <is>
          <t>正常系</t>
        </is>
      </c>
      <c r="D104" s="12" t="inlineStr">
        <is>
          <t>コメントを投稿できる（本文500文字、上限）</t>
        </is>
      </c>
      <c r="E104" s="12" t="inlineStr">
        <is>
          <t>TD-02</t>
        </is>
      </c>
      <c r="F104" s="12" t="inlineStr">
        <is>
          <t>一般ユーザー（ID=1）でbodyを500文字にして投稿する</t>
        </is>
      </c>
      <c r="G104" s="12" t="inlineStr">
        <is>
          <t>201、mine=true、parentCommentId=null</t>
        </is>
      </c>
      <c r="H104" s="12" t="inlineStr">
        <is>
          <t>event_commentsに1行追加される（event_id=TD-02、user_id=1、parent_comment_id=NULL、deleted_at=NULL）</t>
        </is>
      </c>
      <c r="I104" s="12" t="inlineStr">
        <is>
          <t>【操作の前と後に実行し、期待結果のとおりであることを確認する】
SELECT id, event_id, user_id, parent_comment_id, body, deleted_at, updated_at FROM event_comments ORDER BY id;</t>
        </is>
      </c>
      <c r="J104" s="12" t="inlineStr">
        <is>
          <t>AP-051、E-V-008</t>
        </is>
      </c>
      <c r="K104" s="12" t="inlineStr">
        <is>
          <t>手動</t>
        </is>
      </c>
      <c r="L104" s="12" t="n"/>
      <c r="M104" s="12" t="inlineStr">
        <is>
          <t>OK</t>
        </is>
      </c>
      <c r="N104" s="23" t="n">
        <v>46304</v>
      </c>
      <c r="O104" s="12" t="inlineStr">
        <is>
          <t>佐々木</t>
        </is>
      </c>
      <c r="P104" s="12" t="n"/>
      <c r="Q104" s="15" t="inlineStr">
        <is>
          <t>45_テストエビデンス_API結合.xlsx／AP-051</t>
        </is>
      </c>
      <c r="R104" s="12" t="n"/>
      <c r="S104" s="12" t="n"/>
      <c r="T104" s="12" t="n"/>
    </row>
    <row r="105" ht="54" customHeight="1">
      <c r="A105" s="12" t="inlineStr">
        <is>
          <t>IT-AP051-N02</t>
        </is>
      </c>
      <c r="B105" s="12" t="inlineStr">
        <is>
          <t>AP-051 コメント投稿・返信 POST /api/events/{id}/comments</t>
        </is>
      </c>
      <c r="C105" s="12" t="inlineStr">
        <is>
          <t>正常系</t>
        </is>
      </c>
      <c r="D105" s="12" t="inlineStr">
        <is>
          <t>コメントに返信できる</t>
        </is>
      </c>
      <c r="E105" s="12" t="inlineStr">
        <is>
          <t>TD-02にコメントがある</t>
        </is>
      </c>
      <c r="F105" s="12" t="inlineStr">
        <is>
          <t>一般ユーザー（ID=1）でparentCommentIdにそのコメントのIDを指定して投稿する</t>
        </is>
      </c>
      <c r="G105" s="12" t="inlineStr">
        <is>
          <t>201、parentCommentId=指定したID</t>
        </is>
      </c>
      <c r="H105" s="12" t="inlineStr">
        <is>
          <t>追加された行のparent_comment_idが指定したID</t>
        </is>
      </c>
      <c r="I105" s="12" t="inlineStr">
        <is>
          <t>【操作の前と後に実行し、期待結果のとおりであることを確認する】
SELECT id, event_id, user_id, parent_comment_id, body, deleted_at, updated_at FROM event_comments ORDER BY id;</t>
        </is>
      </c>
      <c r="J105" s="12" t="inlineStr">
        <is>
          <t>AP-051</t>
        </is>
      </c>
      <c r="K105" s="12" t="inlineStr">
        <is>
          <t>手動</t>
        </is>
      </c>
      <c r="L105" s="12" t="n"/>
      <c r="M105" s="12" t="inlineStr">
        <is>
          <t>OK</t>
        </is>
      </c>
      <c r="N105" s="23" t="n">
        <v>46304</v>
      </c>
      <c r="O105" s="12" t="inlineStr">
        <is>
          <t>佐々木</t>
        </is>
      </c>
      <c r="P105" s="12" t="n"/>
      <c r="Q105" s="15" t="inlineStr">
        <is>
          <t>45_テストエビデンス_API結合.xlsx／AP-051</t>
        </is>
      </c>
      <c r="R105" s="12" t="n"/>
      <c r="S105" s="12" t="n"/>
      <c r="T105" s="12" t="n"/>
    </row>
    <row r="106" ht="54" customHeight="1">
      <c r="A106" s="12" t="inlineStr">
        <is>
          <t>IT-AP051-N03</t>
        </is>
      </c>
      <c r="B106" s="12" t="inlineStr">
        <is>
          <t>AP-051 コメント投稿・返信 POST /api/events/{id}/comments</t>
        </is>
      </c>
      <c r="C106" s="12" t="inlineStr">
        <is>
          <t>正常系</t>
        </is>
      </c>
      <c r="D106" s="12" t="inlineStr">
        <is>
          <t>受付が終了したイベントにも投稿できる</t>
        </is>
      </c>
      <c r="E106" s="12" t="inlineStr">
        <is>
          <t>TD-03</t>
        </is>
      </c>
      <c r="F106" s="12" t="inlineStr">
        <is>
          <t>一般ユーザー（ID=1）でTD-03に投稿する</t>
        </is>
      </c>
      <c r="G106" s="12" t="inlineStr">
        <is>
          <t>201</t>
        </is>
      </c>
      <c r="H106" s="12" t="inlineStr">
        <is>
          <t>event_commentsに1行追加される</t>
        </is>
      </c>
      <c r="I106" s="12" t="inlineStr">
        <is>
          <t>【操作の前と後に実行し、期待結果のとおりであることを確認する】
SELECT id, event_id, user_id, parent_comment_id, body, deleted_at, updated_at FROM event_comments ORDER BY id;</t>
        </is>
      </c>
      <c r="J106" s="12" t="inlineStr">
        <is>
          <t>AP-051</t>
        </is>
      </c>
      <c r="K106" s="12" t="inlineStr">
        <is>
          <t>手動</t>
        </is>
      </c>
      <c r="L106" s="12" t="n"/>
      <c r="M106" s="12" t="inlineStr">
        <is>
          <t>OK</t>
        </is>
      </c>
      <c r="N106" s="23" t="n">
        <v>46304</v>
      </c>
      <c r="O106" s="12" t="inlineStr">
        <is>
          <t>佐々木</t>
        </is>
      </c>
      <c r="P106" s="12" t="n"/>
      <c r="Q106" s="15" t="inlineStr">
        <is>
          <t>45_テストエビデンス_API結合.xlsx／AP-051</t>
        </is>
      </c>
      <c r="R106" s="12" t="n"/>
      <c r="S106" s="12" t="n"/>
      <c r="T106" s="12" t="n"/>
    </row>
    <row r="107" ht="54" customHeight="1">
      <c r="A107" s="12" t="inlineStr">
        <is>
          <t>IT-AP051-N04</t>
        </is>
      </c>
      <c r="B107" s="12" t="inlineStr">
        <is>
          <t>AP-051 コメント投稿・返信 POST /api/events/{id}/comments</t>
        </is>
      </c>
      <c r="C107" s="12" t="inlineStr">
        <is>
          <t>正常系</t>
        </is>
      </c>
      <c r="D107" s="12" t="inlineStr">
        <is>
          <t>論理削除済みのコメントにも返信できる</t>
        </is>
      </c>
      <c r="E107" s="12" t="inlineStr">
        <is>
          <t>論理削除済みのコメントがある</t>
        </is>
      </c>
      <c r="F107" s="12" t="inlineStr">
        <is>
          <t>一般ユーザー（ID=1）でそのコメントをparentCommentIdに指定して投稿する</t>
        </is>
      </c>
      <c r="G107" s="12" t="inlineStr">
        <is>
          <t>201</t>
        </is>
      </c>
      <c r="H107" s="12" t="inlineStr">
        <is>
          <t>追加された行のparent_comment_idが指定したID</t>
        </is>
      </c>
      <c r="I107" s="12" t="inlineStr">
        <is>
          <t>【操作の前と後に実行し、期待結果のとおりであることを確認する】
SELECT id, event_id, user_id, parent_comment_id, body, deleted_at, updated_at FROM event_comments ORDER BY id;</t>
        </is>
      </c>
      <c r="J107" s="12" t="inlineStr">
        <is>
          <t>10_要件定義書 7章「コメントの返信」</t>
        </is>
      </c>
      <c r="K107" s="12" t="inlineStr">
        <is>
          <t>手動</t>
        </is>
      </c>
      <c r="L107" s="12" t="n"/>
      <c r="M107" s="12" t="inlineStr">
        <is>
          <t>OK</t>
        </is>
      </c>
      <c r="N107" s="23" t="n">
        <v>46304</v>
      </c>
      <c r="O107" s="12" t="inlineStr">
        <is>
          <t>佐々木</t>
        </is>
      </c>
      <c r="P107" s="12" t="n"/>
      <c r="Q107" s="15" t="inlineStr">
        <is>
          <t>45_テストエビデンス_API結合.xlsx／AP-051</t>
        </is>
      </c>
      <c r="R107" s="12" t="n"/>
      <c r="S107" s="12" t="n"/>
      <c r="T107" s="12" t="n"/>
    </row>
    <row r="108" ht="54" customHeight="1">
      <c r="A108" s="12" t="inlineStr">
        <is>
          <t>IT-AP051-E01</t>
        </is>
      </c>
      <c r="B108" s="12" t="inlineStr">
        <is>
          <t>AP-051 コメント投稿・返信 POST /api/events/{id}/comments</t>
        </is>
      </c>
      <c r="C108" s="12" t="inlineStr">
        <is>
          <t>異常系</t>
        </is>
      </c>
      <c r="D108" s="12" t="inlineStr">
        <is>
          <t>本文が501文字だと入力エラーになる（上限超過）</t>
        </is>
      </c>
      <c r="E108" s="12" t="inlineStr">
        <is>
          <t>TD-02</t>
        </is>
      </c>
      <c r="F108" s="12" t="inlineStr">
        <is>
          <t>一般ユーザー（ID=1）でbodyを501文字にして投稿する</t>
        </is>
      </c>
      <c r="G108" s="12" t="inlineStr">
        <is>
          <t>400、errors[]にbody「500文字以内で入力してください」（E-V-008）</t>
        </is>
      </c>
      <c r="H108" s="12" t="inlineStr">
        <is>
          <t>event_commentsは変更されない</t>
        </is>
      </c>
      <c r="I108" s="12" t="inlineStr">
        <is>
          <t>【操作の前と後に実行し、結果が同じことを確認する】
SELECT * FROM event_comments ORDER BY id;</t>
        </is>
      </c>
      <c r="J108" s="12" t="inlineStr">
        <is>
          <t>E-V-008</t>
        </is>
      </c>
      <c r="K108" s="12" t="inlineStr">
        <is>
          <t>手動</t>
        </is>
      </c>
      <c r="L108" s="12" t="n"/>
      <c r="M108" s="12" t="inlineStr">
        <is>
          <t>OK</t>
        </is>
      </c>
      <c r="N108" s="23" t="n">
        <v>46304</v>
      </c>
      <c r="O108" s="12" t="inlineStr">
        <is>
          <t>佐々木</t>
        </is>
      </c>
      <c r="P108" s="12" t="n"/>
      <c r="Q108" s="15" t="inlineStr">
        <is>
          <t>45_テストエビデンス_API結合.xlsx／AP-051</t>
        </is>
      </c>
      <c r="R108" s="12" t="n"/>
      <c r="S108" s="12" t="n"/>
      <c r="T108" s="12" t="n"/>
    </row>
    <row r="109" ht="54" customHeight="1">
      <c r="A109" s="12" t="inlineStr">
        <is>
          <t>IT-AP051-E02</t>
        </is>
      </c>
      <c r="B109" s="12" t="inlineStr">
        <is>
          <t>AP-051 コメント投稿・返信 POST /api/events/{id}/comments</t>
        </is>
      </c>
      <c r="C109" s="12" t="inlineStr">
        <is>
          <t>異常系</t>
        </is>
      </c>
      <c r="D109" s="12" t="inlineStr">
        <is>
          <t>本文が空白だけだと入力エラーになる</t>
        </is>
      </c>
      <c r="E109" s="12" t="inlineStr">
        <is>
          <t>TD-02</t>
        </is>
      </c>
      <c r="F109" s="12" t="inlineStr">
        <is>
          <t>一般ユーザー（ID=1）でbodyを半角空白だけにして投稿する</t>
        </is>
      </c>
      <c r="G109" s="12" t="inlineStr">
        <is>
          <t>400、errors[]にbody「コメントを入力してください」（E-V-008）</t>
        </is>
      </c>
      <c r="H109" s="12" t="inlineStr">
        <is>
          <t>event_commentsは変更されない</t>
        </is>
      </c>
      <c r="I109" s="12" t="inlineStr">
        <is>
          <t>【操作の前と後に実行し、結果が同じことを確認する】
SELECT * FROM event_comments ORDER BY id;</t>
        </is>
      </c>
      <c r="J109" s="12" t="inlineStr">
        <is>
          <t>E-V-008</t>
        </is>
      </c>
      <c r="K109" s="12" t="inlineStr">
        <is>
          <t>手動</t>
        </is>
      </c>
      <c r="L109" s="12" t="n"/>
      <c r="M109" s="12" t="inlineStr">
        <is>
          <t>OK</t>
        </is>
      </c>
      <c r="N109" s="23" t="n">
        <v>46304</v>
      </c>
      <c r="O109" s="12" t="inlineStr">
        <is>
          <t>佐々木</t>
        </is>
      </c>
      <c r="P109" s="12" t="n"/>
      <c r="Q109" s="15" t="inlineStr">
        <is>
          <t>45_テストエビデンス_API結合.xlsx／AP-051</t>
        </is>
      </c>
      <c r="R109" s="12" t="n"/>
      <c r="S109" s="12" t="n"/>
      <c r="T109" s="12" t="n"/>
    </row>
    <row r="110" ht="54" customHeight="1">
      <c r="A110" s="12" t="inlineStr">
        <is>
          <t>IT-AP051-E03</t>
        </is>
      </c>
      <c r="B110" s="12" t="inlineStr">
        <is>
          <t>AP-051 コメント投稿・返信 POST /api/events/{id}/comments</t>
        </is>
      </c>
      <c r="C110" s="12" t="inlineStr">
        <is>
          <t>異常系</t>
        </is>
      </c>
      <c r="D110" s="12" t="inlineStr">
        <is>
          <t>本文が見えない文字だけだと入力エラーになる</t>
        </is>
      </c>
      <c r="E110" s="12" t="inlineStr">
        <is>
          <t>TD-02</t>
        </is>
      </c>
      <c r="F110" s="12" t="inlineStr">
        <is>
          <t>一般ユーザー（ID=1）でbodyをゼロ幅スペース（U+200B）1文字にして投稿する</t>
        </is>
      </c>
      <c r="G110" s="12" t="inlineStr">
        <is>
          <t>400、errors[]にbody（E-V-008）</t>
        </is>
      </c>
      <c r="H110" s="12" t="inlineStr">
        <is>
          <t>event_commentsは変更されない</t>
        </is>
      </c>
      <c r="I110" s="12" t="inlineStr">
        <is>
          <t>【操作の前と後に実行し、結果が同じことを確認する】
SELECT * FROM event_comments ORDER BY id;</t>
        </is>
      </c>
      <c r="J110" s="12" t="inlineStr">
        <is>
          <t>24_方式設計書 4.3</t>
        </is>
      </c>
      <c r="K110" s="12" t="inlineStr">
        <is>
          <t>手動</t>
        </is>
      </c>
      <c r="L110" s="12" t="n"/>
      <c r="M110" s="12" t="inlineStr">
        <is>
          <t>OK</t>
        </is>
      </c>
      <c r="N110" s="23" t="n">
        <v>46304</v>
      </c>
      <c r="O110" s="12" t="inlineStr">
        <is>
          <t>佐々木</t>
        </is>
      </c>
      <c r="P110" s="12" t="n"/>
      <c r="Q110" s="15" t="inlineStr">
        <is>
          <t>45_テストエビデンス_API結合.xlsx／AP-051</t>
        </is>
      </c>
      <c r="R110" s="12" t="n"/>
      <c r="S110" s="12" t="n"/>
      <c r="T110" s="12" t="n"/>
    </row>
    <row r="111" ht="54" customHeight="1">
      <c r="A111" s="12" t="inlineStr">
        <is>
          <t>IT-AP051-E04</t>
        </is>
      </c>
      <c r="B111" s="12" t="inlineStr">
        <is>
          <t>AP-051 コメント投稿・返信 POST /api/events/{id}/comments</t>
        </is>
      </c>
      <c r="C111" s="12" t="inlineStr">
        <is>
          <t>異常系</t>
        </is>
      </c>
      <c r="D111" s="12" t="inlineStr">
        <is>
          <t>別のイベントのコメントには返信できない</t>
        </is>
      </c>
      <c r="E111" s="12" t="inlineStr">
        <is>
          <t>TD-01にコメントがある</t>
        </is>
      </c>
      <c r="F111" s="12" t="inlineStr">
        <is>
          <t>一般ユーザー（ID=1）でTD-02に、parentCommentIdにTD-01のコメントのIDを指定して投稿する</t>
        </is>
      </c>
      <c r="G111" s="12" t="inlineStr">
        <is>
          <t>404「返信先のコメントが見つかりません」（E-B-016）</t>
        </is>
      </c>
      <c r="H111" s="12" t="inlineStr">
        <is>
          <t>event_commentsは変更されない</t>
        </is>
      </c>
      <c r="I111" s="12" t="inlineStr">
        <is>
          <t>【操作の前と後に実行し、結果が同じことを確認する】
SELECT * FROM event_comments ORDER BY id;</t>
        </is>
      </c>
      <c r="J111" s="12" t="inlineStr">
        <is>
          <t>C-06</t>
        </is>
      </c>
      <c r="K111" s="12" t="inlineStr">
        <is>
          <t>手動</t>
        </is>
      </c>
      <c r="L111" s="12" t="n"/>
      <c r="M111" s="12" t="inlineStr">
        <is>
          <t>OK</t>
        </is>
      </c>
      <c r="N111" s="23" t="n">
        <v>46304</v>
      </c>
      <c r="O111" s="12" t="inlineStr">
        <is>
          <t>佐々木</t>
        </is>
      </c>
      <c r="P111" s="12" t="n"/>
      <c r="Q111" s="15" t="inlineStr">
        <is>
          <t>45_テストエビデンス_API結合.xlsx／AP-051</t>
        </is>
      </c>
      <c r="R111" s="12" t="n"/>
      <c r="S111" s="12" t="n"/>
      <c r="T111" s="12" t="n"/>
    </row>
    <row r="112" ht="54" customHeight="1">
      <c r="A112" s="12" t="inlineStr">
        <is>
          <t>IT-AP051-E05</t>
        </is>
      </c>
      <c r="B112" s="12" t="inlineStr">
        <is>
          <t>AP-051 コメント投稿・返信 POST /api/events/{id}/comments</t>
        </is>
      </c>
      <c r="C112" s="12" t="inlineStr">
        <is>
          <t>異常系</t>
        </is>
      </c>
      <c r="D112" s="12" t="inlineStr">
        <is>
          <t>存在しないコメントには返信できない</t>
        </is>
      </c>
      <c r="E112" s="12" t="inlineStr">
        <is>
          <t>TD-02</t>
        </is>
      </c>
      <c r="F112" s="12" t="inlineStr">
        <is>
          <t>一般ユーザー（ID=1）でparentCommentIdに99999を指定して投稿する</t>
        </is>
      </c>
      <c r="G112" s="12" t="inlineStr">
        <is>
          <t>404「返信先のコメントが見つかりません」（E-B-016）</t>
        </is>
      </c>
      <c r="H112" s="12" t="inlineStr">
        <is>
          <t>event_commentsは変更されない</t>
        </is>
      </c>
      <c r="I112" s="12" t="inlineStr">
        <is>
          <t>【操作の前と後に実行し、結果が同じことを確認する】
SELECT * FROM event_comments ORDER BY id;</t>
        </is>
      </c>
      <c r="J112" s="12" t="inlineStr">
        <is>
          <t>C-06</t>
        </is>
      </c>
      <c r="K112" s="12" t="inlineStr">
        <is>
          <t>手動</t>
        </is>
      </c>
      <c r="L112" s="12" t="n"/>
      <c r="M112" s="12" t="inlineStr">
        <is>
          <t>OK</t>
        </is>
      </c>
      <c r="N112" s="23" t="n">
        <v>46304</v>
      </c>
      <c r="O112" s="12" t="inlineStr">
        <is>
          <t>佐々木</t>
        </is>
      </c>
      <c r="P112" s="12" t="n"/>
      <c r="Q112" s="15" t="inlineStr">
        <is>
          <t>45_テストエビデンス_API結合.xlsx／AP-051</t>
        </is>
      </c>
      <c r="R112" s="12" t="n"/>
      <c r="S112" s="12" t="n"/>
      <c r="T112" s="12" t="n"/>
    </row>
    <row r="113" ht="54" customHeight="1">
      <c r="A113" s="12" t="inlineStr">
        <is>
          <t>IT-AP051-E06</t>
        </is>
      </c>
      <c r="B113" s="12" t="inlineStr">
        <is>
          <t>AP-051 コメント投稿・返信 POST /api/events/{id}/comments</t>
        </is>
      </c>
      <c r="C113" s="12" t="inlineStr">
        <is>
          <t>異常系</t>
        </is>
      </c>
      <c r="D113" s="12" t="inlineStr">
        <is>
          <t>存在しないイベントには投稿できない</t>
        </is>
      </c>
      <c r="E113" s="12" t="inlineStr">
        <is>
          <t>-</t>
        </is>
      </c>
      <c r="F113" s="12" t="inlineStr">
        <is>
          <t>一般ユーザー（ID=1）でPOST /api/events/99999/comments</t>
        </is>
      </c>
      <c r="G113" s="12" t="inlineStr">
        <is>
          <t>404「イベントが見つかりません」（E-B-001）</t>
        </is>
      </c>
      <c r="H113" s="12" t="inlineStr">
        <is>
          <t>event_commentsは変更されない</t>
        </is>
      </c>
      <c r="I113" s="12" t="inlineStr">
        <is>
          <t>【操作の前と後に実行し、結果が同じことを確認する】
SELECT * FROM event_comments ORDER BY id;</t>
        </is>
      </c>
      <c r="J113" s="12" t="inlineStr">
        <is>
          <t>AP-051</t>
        </is>
      </c>
      <c r="K113" s="12" t="inlineStr">
        <is>
          <t>手動</t>
        </is>
      </c>
      <c r="L113" s="12" t="n"/>
      <c r="M113" s="12" t="inlineStr">
        <is>
          <t>OK</t>
        </is>
      </c>
      <c r="N113" s="23" t="n">
        <v>46304</v>
      </c>
      <c r="O113" s="12" t="inlineStr">
        <is>
          <t>佐々木</t>
        </is>
      </c>
      <c r="P113" s="12" t="n"/>
      <c r="Q113" s="15" t="inlineStr">
        <is>
          <t>45_テストエビデンス_API結合.xlsx／AP-051</t>
        </is>
      </c>
      <c r="R113" s="12" t="n"/>
      <c r="S113" s="12" t="n"/>
      <c r="T113" s="12" t="n"/>
    </row>
    <row r="114" ht="40.5" customHeight="1">
      <c r="A114" s="12" t="inlineStr">
        <is>
          <t>IT-AP052-N01</t>
        </is>
      </c>
      <c r="B114" s="12" t="inlineStr">
        <is>
          <t>AP-052 コメント削除 DELETE /api/comments/{id}</t>
        </is>
      </c>
      <c r="C114" s="12" t="inlineStr">
        <is>
          <t>正常系</t>
        </is>
      </c>
      <c r="D114" s="12" t="inlineStr">
        <is>
          <t>返信の無い自分のコメントを削除すると行が消える</t>
        </is>
      </c>
      <c r="E114" s="12" t="inlineStr">
        <is>
          <t>一般ユーザーが投稿した、返信の無いコメント</t>
        </is>
      </c>
      <c r="F114" s="12" t="inlineStr">
        <is>
          <t>一般ユーザー（ID=1）でそのコメントのIDを指定する</t>
        </is>
      </c>
      <c r="G114" s="12" t="inlineStr">
        <is>
          <t>204</t>
        </is>
      </c>
      <c r="H114" s="12" t="inlineStr">
        <is>
          <t>event_commentsの該当の行が削除される（物理削除）</t>
        </is>
      </c>
      <c r="I114" s="12" t="inlineStr">
        <is>
          <t>【操作の前と後に実行し、期待結果のとおりであることを確認する】
SELECT id, event_id, user_id, parent_comment_id, body, deleted_at, updated_at FROM event_comments ORDER BY id;</t>
        </is>
      </c>
      <c r="J114" s="12" t="inlineStr">
        <is>
          <t>R-13、R-14</t>
        </is>
      </c>
      <c r="K114" s="12" t="inlineStr">
        <is>
          <t>手動</t>
        </is>
      </c>
      <c r="L114" s="12" t="n"/>
      <c r="M114" s="12" t="inlineStr">
        <is>
          <t>OK</t>
        </is>
      </c>
      <c r="N114" s="23" t="n">
        <v>46304</v>
      </c>
      <c r="O114" s="12" t="inlineStr">
        <is>
          <t>佐々木</t>
        </is>
      </c>
      <c r="P114" s="12" t="n"/>
      <c r="Q114" s="15" t="inlineStr">
        <is>
          <t>45_テストエビデンス_API結合.xlsx／AP-052</t>
        </is>
      </c>
      <c r="R114" s="12" t="n"/>
      <c r="S114" s="12" t="n"/>
      <c r="T114" s="12" t="n"/>
    </row>
    <row r="115" ht="40.5" customHeight="1">
      <c r="A115" s="12" t="inlineStr">
        <is>
          <t>IT-AP052-N02</t>
        </is>
      </c>
      <c r="B115" s="12" t="inlineStr">
        <is>
          <t>AP-052 コメント削除 DELETE /api/comments/{id}</t>
        </is>
      </c>
      <c r="C115" s="12" t="inlineStr">
        <is>
          <t>正常系</t>
        </is>
      </c>
      <c r="D115" s="12" t="inlineStr">
        <is>
          <t>返信のある自分のコメントを削除すると行が残る</t>
        </is>
      </c>
      <c r="E115" s="12" t="inlineStr">
        <is>
          <t>一般ユーザーが投稿した、返信のあるコメント</t>
        </is>
      </c>
      <c r="F115" s="12" t="inlineStr">
        <is>
          <t>一般ユーザー（ID=1）でそのコメントのIDを指定する</t>
        </is>
      </c>
      <c r="G115" s="12" t="inlineStr">
        <is>
          <t>204</t>
        </is>
      </c>
      <c r="H115" s="12" t="inlineStr">
        <is>
          <t>該当の行は残り、deleted_atに日時が入る（論理削除）。返信の行は変更されない</t>
        </is>
      </c>
      <c r="I115" s="12" t="inlineStr">
        <is>
          <t>【操作の前と後に実行し、期待結果のとおりであることを確認する】
SELECT id, event_id, user_id, parent_comment_id, body, deleted_at, updated_at FROM event_comments ORDER BY id;</t>
        </is>
      </c>
      <c r="J115" s="12" t="inlineStr">
        <is>
          <t>R-14</t>
        </is>
      </c>
      <c r="K115" s="12" t="inlineStr">
        <is>
          <t>手動</t>
        </is>
      </c>
      <c r="L115" s="12" t="n"/>
      <c r="M115" s="12" t="inlineStr">
        <is>
          <t>OK</t>
        </is>
      </c>
      <c r="N115" s="23" t="n">
        <v>46304</v>
      </c>
      <c r="O115" s="12" t="inlineStr">
        <is>
          <t>佐々木</t>
        </is>
      </c>
      <c r="P115" s="12" t="n"/>
      <c r="Q115" s="15" t="inlineStr">
        <is>
          <t>45_テストエビデンス_API結合.xlsx／AP-052</t>
        </is>
      </c>
      <c r="R115" s="12" t="n"/>
      <c r="S115" s="12" t="n"/>
      <c r="T115" s="12" t="n"/>
    </row>
    <row r="116" ht="40.5" customHeight="1">
      <c r="A116" s="12" t="inlineStr">
        <is>
          <t>IT-AP052-N03</t>
        </is>
      </c>
      <c r="B116" s="12" t="inlineStr">
        <is>
          <t>AP-052 コメント削除 DELETE /api/comments/{id}</t>
        </is>
      </c>
      <c r="C116" s="12" t="inlineStr">
        <is>
          <t>正常系</t>
        </is>
      </c>
      <c r="D116" s="12" t="inlineStr">
        <is>
          <t>管理者は他人のコメントを削除できる</t>
        </is>
      </c>
      <c r="E116" s="12" t="inlineStr">
        <is>
          <t>一般ユーザーが投稿した、返信の無いコメント</t>
        </is>
      </c>
      <c r="F116" s="12" t="inlineStr">
        <is>
          <t>管理者（ID=2）でそのコメントのIDを指定する</t>
        </is>
      </c>
      <c r="G116" s="12" t="inlineStr">
        <is>
          <t>204</t>
        </is>
      </c>
      <c r="H116" s="12" t="inlineStr">
        <is>
          <t>event_commentsの該当の行が削除される</t>
        </is>
      </c>
      <c r="I116" s="12" t="inlineStr">
        <is>
          <t>【操作の前と後に実行し、期待結果のとおりであることを確認する】
SELECT id, event_id, user_id, parent_comment_id, body, deleted_at, updated_at FROM event_comments ORDER BY id;</t>
        </is>
      </c>
      <c r="J116" s="12" t="inlineStr">
        <is>
          <t>R-13</t>
        </is>
      </c>
      <c r="K116" s="12" t="inlineStr">
        <is>
          <t>手動</t>
        </is>
      </c>
      <c r="L116" s="12" t="n"/>
      <c r="M116" s="12" t="inlineStr">
        <is>
          <t>OK</t>
        </is>
      </c>
      <c r="N116" s="23" t="n">
        <v>46304</v>
      </c>
      <c r="O116" s="12" t="inlineStr">
        <is>
          <t>佐々木</t>
        </is>
      </c>
      <c r="P116" s="12" t="n"/>
      <c r="Q116" s="15" t="inlineStr">
        <is>
          <t>45_テストエビデンス_API結合.xlsx／AP-052</t>
        </is>
      </c>
      <c r="R116" s="12" t="n"/>
      <c r="S116" s="12" t="n"/>
      <c r="T116" s="12" t="n"/>
    </row>
    <row r="117" ht="40.5" customHeight="1">
      <c r="A117" s="12" t="inlineStr">
        <is>
          <t>IT-AP052-E01</t>
        </is>
      </c>
      <c r="B117" s="12" t="inlineStr">
        <is>
          <t>AP-052 コメント削除 DELETE /api/comments/{id}</t>
        </is>
      </c>
      <c r="C117" s="12" t="inlineStr">
        <is>
          <t>異常系</t>
        </is>
      </c>
      <c r="D117" s="12" t="inlineStr">
        <is>
          <t>一般利用者は他人のコメントを削除できない</t>
        </is>
      </c>
      <c r="E117" s="12" t="inlineStr">
        <is>
          <t>一般ユーザーが投稿したコメント</t>
        </is>
      </c>
      <c r="F117" s="12" t="inlineStr">
        <is>
          <t>TD-05の利用者でそのコメントのIDを指定する</t>
        </is>
      </c>
      <c r="G117" s="12" t="inlineStr">
        <is>
          <t>403「削除できません」（E-A-004）</t>
        </is>
      </c>
      <c r="H117" s="12" t="inlineStr">
        <is>
          <t>該当の行は変更されない</t>
        </is>
      </c>
      <c r="I117" s="12" t="inlineStr">
        <is>
          <t>【操作の前と後に実行し、結果が同じことを確認する】
SELECT * FROM event_comments ORDER BY id;</t>
        </is>
      </c>
      <c r="J117" s="12" t="inlineStr">
        <is>
          <t>R-13</t>
        </is>
      </c>
      <c r="K117" s="12" t="inlineStr">
        <is>
          <t>手動</t>
        </is>
      </c>
      <c r="L117" s="12" t="n"/>
      <c r="M117" s="12" t="inlineStr">
        <is>
          <t>OK</t>
        </is>
      </c>
      <c r="N117" s="23" t="n">
        <v>46304</v>
      </c>
      <c r="O117" s="12" t="inlineStr">
        <is>
          <t>佐々木</t>
        </is>
      </c>
      <c r="P117" s="12" t="n"/>
      <c r="Q117" s="15" t="inlineStr">
        <is>
          <t>45_テストエビデンス_API結合.xlsx／AP-052</t>
        </is>
      </c>
      <c r="R117" s="12" t="n"/>
      <c r="S117" s="12" t="n"/>
      <c r="T117" s="12" t="n"/>
    </row>
    <row r="118" ht="40.5" customHeight="1">
      <c r="A118" s="12" t="inlineStr">
        <is>
          <t>IT-AP052-E02</t>
        </is>
      </c>
      <c r="B118" s="12" t="inlineStr">
        <is>
          <t>AP-052 コメント削除 DELETE /api/comments/{id}</t>
        </is>
      </c>
      <c r="C118" s="12" t="inlineStr">
        <is>
          <t>異常系</t>
        </is>
      </c>
      <c r="D118" s="12" t="inlineStr">
        <is>
          <t>存在しないコメントは削除できない</t>
        </is>
      </c>
      <c r="E118" s="12" t="inlineStr">
        <is>
          <t>-</t>
        </is>
      </c>
      <c r="F118" s="12" t="inlineStr">
        <is>
          <t>一般ユーザー（ID=1）でDELETE /api/comments/99999</t>
        </is>
      </c>
      <c r="G118" s="12" t="inlineStr">
        <is>
          <t>404「コメントが見つかりません」（E-B-011）</t>
        </is>
      </c>
      <c r="H118" s="12" t="inlineStr">
        <is>
          <t>event_commentsは変更されない</t>
        </is>
      </c>
      <c r="I118" s="12" t="inlineStr">
        <is>
          <t>【操作の前と後に実行し、結果が同じことを確認する】
SELECT * FROM event_comments ORDER BY id;</t>
        </is>
      </c>
      <c r="J118" s="12" t="inlineStr">
        <is>
          <t>32_処理詳細設計書 4章 AP-052 No.1</t>
        </is>
      </c>
      <c r="K118" s="12" t="inlineStr">
        <is>
          <t>手動</t>
        </is>
      </c>
      <c r="L118" s="12" t="n"/>
      <c r="M118" s="12" t="inlineStr">
        <is>
          <t>OK</t>
        </is>
      </c>
      <c r="N118" s="23" t="n">
        <v>46304</v>
      </c>
      <c r="O118" s="12" t="inlineStr">
        <is>
          <t>佐々木</t>
        </is>
      </c>
      <c r="P118" s="12" t="n"/>
      <c r="Q118" s="15" t="inlineStr">
        <is>
          <t>45_テストエビデンス_API結合.xlsx／AP-052</t>
        </is>
      </c>
      <c r="R118" s="12" t="n"/>
      <c r="S118" s="12" t="n"/>
      <c r="T118" s="12" t="n"/>
    </row>
    <row r="119" ht="40.5" customHeight="1">
      <c r="A119" s="12" t="inlineStr">
        <is>
          <t>IT-AP120-N01</t>
        </is>
      </c>
      <c r="B119" s="12" t="inlineStr">
        <is>
          <t>AP-120 イベント登録 POST /api/events</t>
        </is>
      </c>
      <c r="C119" s="12" t="inlineStr">
        <is>
          <t>正常系</t>
        </is>
      </c>
      <c r="D119" s="12" t="inlineStr">
        <is>
          <t>必須項目と定員を指定して登録できる</t>
        </is>
      </c>
      <c r="E119" s="12" t="inlineStr">
        <is>
          <t>-</t>
        </is>
      </c>
      <c r="F119" s="12" t="inlineStr">
        <is>
          <t>管理者（ID=2）で必須項目（イベント名・開催日時・場所・申込締切）とcapacityを指定する</t>
        </is>
      </c>
      <c r="G119" s="12" t="inlineStr">
        <is>
          <t>201。登録したイベントの詳細が返る</t>
        </is>
      </c>
      <c r="H119" s="12" t="inlineStr">
        <is>
          <t>eventsに1行追加される（deleted_at=NULL）</t>
        </is>
      </c>
      <c r="I119" s="12" t="inlineStr">
        <is>
          <t>-</t>
        </is>
      </c>
      <c r="J119" s="12" t="inlineStr">
        <is>
          <t>AP-120</t>
        </is>
      </c>
      <c r="K119" s="12" t="inlineStr">
        <is>
          <t>自動</t>
        </is>
      </c>
      <c r="L119" s="12" t="inlineStr">
        <is>
          <t>ap120_管理者はイベントを登録できる</t>
        </is>
      </c>
      <c r="M119" s="12" t="inlineStr">
        <is>
          <t>OK</t>
        </is>
      </c>
      <c r="N119" s="23" t="n">
        <v>46302</v>
      </c>
      <c r="O119" s="12" t="inlineStr">
        <is>
          <t>佐々木（Claude Code）</t>
        </is>
      </c>
      <c r="P119" s="12" t="inlineStr">
        <is>
          <t>自動テスト成功</t>
        </is>
      </c>
      <c r="Q119" s="12" t="inlineStr">
        <is>
          <t>evidence/IT/IT_API結合_結果一覧_20261007.txt</t>
        </is>
      </c>
      <c r="R119" s="12" t="n"/>
      <c r="S119" s="12" t="n"/>
      <c r="T119" s="12" t="n"/>
    </row>
    <row r="120" ht="40.5" customHeight="1">
      <c r="A120" s="12" t="inlineStr">
        <is>
          <t>IT-AP120-N02</t>
        </is>
      </c>
      <c r="B120" s="12" t="inlineStr">
        <is>
          <t>AP-120 イベント登録 POST /api/events</t>
        </is>
      </c>
      <c r="C120" s="12" t="inlineStr">
        <is>
          <t>正常系</t>
        </is>
      </c>
      <c r="D120" s="12" t="inlineStr">
        <is>
          <t>定員を指定せず、参加区分だけで登録できる</t>
        </is>
      </c>
      <c r="E120" s="12" t="inlineStr">
        <is>
          <t>-</t>
        </is>
      </c>
      <c r="F120" s="12" t="inlineStr">
        <is>
          <t>管理者（ID=2）で必須項目（イベント名・開催日時・場所・申込締切）とticketTypes2件（定員2と1）を指定し、capacityは指定しない</t>
        </is>
      </c>
      <c r="G120" s="12" t="inlineStr">
        <is>
          <t>201、capacity=3</t>
        </is>
      </c>
      <c r="H120" s="12" t="inlineStr">
        <is>
          <t>events.capacity=3。ticket_typesに2行追加される</t>
        </is>
      </c>
      <c r="I120" s="12" t="inlineStr">
        <is>
          <t>-</t>
        </is>
      </c>
      <c r="J120" s="12" t="inlineStr">
        <is>
          <t>R-11、C-02</t>
        </is>
      </c>
      <c r="K120" s="12" t="inlineStr">
        <is>
          <t>自動</t>
        </is>
      </c>
      <c r="L120" s="12" t="inlineStr">
        <is>
          <t>ap120_定員を指定せず参加区分のみで登録できる</t>
        </is>
      </c>
      <c r="M120" s="12" t="inlineStr">
        <is>
          <t>OK</t>
        </is>
      </c>
      <c r="N120" s="23" t="n">
        <v>46302</v>
      </c>
      <c r="O120" s="12" t="inlineStr">
        <is>
          <t>佐々木（Claude Code）</t>
        </is>
      </c>
      <c r="P120" s="12" t="inlineStr">
        <is>
          <t>自動テスト成功</t>
        </is>
      </c>
      <c r="Q120" s="12" t="inlineStr">
        <is>
          <t>evidence/IT/IT_API結合_結果一覧_20261007.txt</t>
        </is>
      </c>
      <c r="R120" s="12" t="n"/>
      <c r="S120" s="12" t="n"/>
      <c r="T120" s="12" t="n"/>
    </row>
    <row r="121" ht="27" customHeight="1">
      <c r="A121" s="12" t="inlineStr">
        <is>
          <t>IT-AP120-N03</t>
        </is>
      </c>
      <c r="B121" s="12" t="inlineStr">
        <is>
          <t>AP-120 イベント登録 POST /api/events</t>
        </is>
      </c>
      <c r="C121" s="12" t="inlineStr">
        <is>
          <t>正常系</t>
        </is>
      </c>
      <c r="D121" s="12" t="inlineStr">
        <is>
          <t>申込締切が開催日時の1秒前なら登録できる（境界）</t>
        </is>
      </c>
      <c r="E121" s="12" t="inlineStr">
        <is>
          <t>-</t>
        </is>
      </c>
      <c r="F121" s="12" t="inlineStr">
        <is>
          <t>管理者（ID=2）でapplicationDeadlineをstartAtの1秒前にして登録する</t>
        </is>
      </c>
      <c r="G121" s="12" t="inlineStr">
        <is>
          <t>201</t>
        </is>
      </c>
      <c r="H121" s="12" t="inlineStr">
        <is>
          <t>eventsに1行追加される</t>
        </is>
      </c>
      <c r="I121" s="12" t="inlineStr">
        <is>
          <t>-</t>
        </is>
      </c>
      <c r="J121" s="12" t="inlineStr">
        <is>
          <t>C-01</t>
        </is>
      </c>
      <c r="K121" s="12" t="inlineStr">
        <is>
          <t>自動</t>
        </is>
      </c>
      <c r="L121" s="12" t="inlineStr">
        <is>
          <t>ap120_申込締切が開催日時の1秒前なら登録できる</t>
        </is>
      </c>
      <c r="M121" s="12" t="inlineStr">
        <is>
          <t>OK</t>
        </is>
      </c>
      <c r="N121" s="23" t="n">
        <v>46302</v>
      </c>
      <c r="O121" s="12" t="inlineStr">
        <is>
          <t>佐々木（Claude Code）</t>
        </is>
      </c>
      <c r="P121" s="12" t="inlineStr">
        <is>
          <t>自動テスト成功</t>
        </is>
      </c>
      <c r="Q121" s="12" t="inlineStr">
        <is>
          <t>evidence/IT/IT_API結合_結果一覧_20261007.txt</t>
        </is>
      </c>
      <c r="R121" s="12" t="n"/>
      <c r="S121" s="12" t="n"/>
      <c r="T121" s="12" t="n"/>
    </row>
    <row r="122" ht="27" customHeight="1">
      <c r="A122" s="12" t="inlineStr">
        <is>
          <t>IT-AP120-N04</t>
        </is>
      </c>
      <c r="B122" s="12" t="inlineStr">
        <is>
          <t>AP-120 イベント登録 POST /api/events</t>
        </is>
      </c>
      <c r="C122" s="12" t="inlineStr">
        <is>
          <t>正常系</t>
        </is>
      </c>
      <c r="D122" s="12" t="inlineStr">
        <is>
          <t>定員は1で登録できる（下限）</t>
        </is>
      </c>
      <c r="E122" s="12" t="inlineStr">
        <is>
          <t>-</t>
        </is>
      </c>
      <c r="F122" s="12" t="inlineStr">
        <is>
          <t>管理者（ID=2）でcapacityを1にして登録する</t>
        </is>
      </c>
      <c r="G122" s="12" t="inlineStr">
        <is>
          <t>201</t>
        </is>
      </c>
      <c r="H122" s="12" t="inlineStr">
        <is>
          <t>events.capacity=1</t>
        </is>
      </c>
      <c r="I122" s="12" t="inlineStr">
        <is>
          <t>【操作の前と後に実行し、期待結果のとおりであることを確認する】
SELECT id, name, start_at, place, capacity, application_deadline, deleted_at, updated_at FROM events ORDER BY id;</t>
        </is>
      </c>
      <c r="J122" s="12" t="inlineStr">
        <is>
          <t>E-V-013</t>
        </is>
      </c>
      <c r="K122" s="12" t="inlineStr">
        <is>
          <t>手動</t>
        </is>
      </c>
      <c r="L122" s="12" t="n"/>
      <c r="M122" s="12" t="inlineStr">
        <is>
          <t>OK</t>
        </is>
      </c>
      <c r="N122" s="23" t="n">
        <v>46304</v>
      </c>
      <c r="O122" s="12" t="inlineStr">
        <is>
          <t>佐々木</t>
        </is>
      </c>
      <c r="P122" s="12" t="n"/>
      <c r="Q122" s="15" t="inlineStr">
        <is>
          <t>45_テストエビデンス_API結合.xlsx／AP-120</t>
        </is>
      </c>
      <c r="R122" s="12" t="n"/>
      <c r="S122" s="12" t="n"/>
      <c r="T122" s="12" t="n"/>
    </row>
    <row r="123" ht="27" customHeight="1">
      <c r="A123" s="12" t="inlineStr">
        <is>
          <t>IT-AP120-N05</t>
        </is>
      </c>
      <c r="B123" s="12" t="inlineStr">
        <is>
          <t>AP-120 イベント登録 POST /api/events</t>
        </is>
      </c>
      <c r="C123" s="12" t="inlineStr">
        <is>
          <t>正常系</t>
        </is>
      </c>
      <c r="D123" s="12" t="inlineStr">
        <is>
          <t>イベント名は100文字まで登録できる（上限）</t>
        </is>
      </c>
      <c r="E123" s="12" t="inlineStr">
        <is>
          <t>-</t>
        </is>
      </c>
      <c r="F123" s="12" t="inlineStr">
        <is>
          <t>管理者（ID=2）でnameを100文字にして登録する</t>
        </is>
      </c>
      <c r="G123" s="12" t="inlineStr">
        <is>
          <t>201</t>
        </is>
      </c>
      <c r="H123" s="12" t="inlineStr">
        <is>
          <t>eventsに1行追加される</t>
        </is>
      </c>
      <c r="I123" s="12" t="inlineStr">
        <is>
          <t>【操作の前と後に実行し、期待結果のとおりであることを確認する】
SELECT id, name, start_at, place, capacity, application_deadline, deleted_at, updated_at FROM events ORDER BY id;</t>
        </is>
      </c>
      <c r="J123" s="12" t="inlineStr">
        <is>
          <t>E-V-010</t>
        </is>
      </c>
      <c r="K123" s="12" t="inlineStr">
        <is>
          <t>手動</t>
        </is>
      </c>
      <c r="L123" s="12" t="n"/>
      <c r="M123" s="12" t="inlineStr">
        <is>
          <t>OK</t>
        </is>
      </c>
      <c r="N123" s="23" t="n">
        <v>46304</v>
      </c>
      <c r="O123" s="12" t="inlineStr">
        <is>
          <t>佐々木</t>
        </is>
      </c>
      <c r="P123" s="12" t="n"/>
      <c r="Q123" s="15" t="inlineStr">
        <is>
          <t>45_テストエビデンス_API結合.xlsx／AP-120</t>
        </is>
      </c>
      <c r="R123" s="12" t="n"/>
      <c r="S123" s="12" t="n"/>
      <c r="T123" s="12" t="n"/>
    </row>
    <row r="124" ht="27" customHeight="1">
      <c r="A124" s="12" t="inlineStr">
        <is>
          <t>IT-AP120-E01</t>
        </is>
      </c>
      <c r="B124" s="12" t="inlineStr">
        <is>
          <t>AP-120 イベント登録 POST /api/events</t>
        </is>
      </c>
      <c r="C124" s="12" t="inlineStr">
        <is>
          <t>異常系</t>
        </is>
      </c>
      <c r="D124" s="12" t="inlineStr">
        <is>
          <t>一般利用者は実行できない</t>
        </is>
      </c>
      <c r="E124" s="12" t="inlineStr">
        <is>
          <t>-</t>
        </is>
      </c>
      <c r="F124" s="12" t="inlineStr">
        <is>
          <t>一般ユーザー（ID=1）で呼ぶ</t>
        </is>
      </c>
      <c r="G124" s="12" t="inlineStr">
        <is>
          <t>403「権限がありません」（E-A-002）</t>
        </is>
      </c>
      <c r="H124" s="12" t="inlineStr">
        <is>
          <t>eventsは変更されない</t>
        </is>
      </c>
      <c r="I124" s="12" t="inlineStr">
        <is>
          <t>-</t>
        </is>
      </c>
      <c r="J124" s="12" t="inlineStr">
        <is>
          <t>23_API基本設計書 3.2</t>
        </is>
      </c>
      <c r="K124" s="12" t="inlineStr">
        <is>
          <t>自動</t>
        </is>
      </c>
      <c r="L124" s="12" t="inlineStr">
        <is>
          <t>ap120_一般ユーザーはイベントを登録できない</t>
        </is>
      </c>
      <c r="M124" s="12" t="inlineStr">
        <is>
          <t>OK</t>
        </is>
      </c>
      <c r="N124" s="23" t="n">
        <v>46302</v>
      </c>
      <c r="O124" s="12" t="inlineStr">
        <is>
          <t>佐々木（Claude Code）</t>
        </is>
      </c>
      <c r="P124" s="12" t="inlineStr">
        <is>
          <t>自動テスト成功</t>
        </is>
      </c>
      <c r="Q124" s="12" t="inlineStr">
        <is>
          <t>evidence/IT/IT_API結合_結果一覧_20261007.txt</t>
        </is>
      </c>
      <c r="R124" s="12" t="n"/>
      <c r="S124" s="12" t="n"/>
      <c r="T124" s="12" t="n"/>
    </row>
    <row r="125" ht="27" customHeight="1">
      <c r="A125" s="12" t="inlineStr">
        <is>
          <t>IT-AP120-E02</t>
        </is>
      </c>
      <c r="B125" s="12" t="inlineStr">
        <is>
          <t>AP-120 イベント登録 POST /api/events</t>
        </is>
      </c>
      <c r="C125" s="12" t="inlineStr">
        <is>
          <t>異常系</t>
        </is>
      </c>
      <c r="D125" s="12" t="inlineStr">
        <is>
          <t>定員も参加区分も指定しないと登録できない</t>
        </is>
      </c>
      <c r="E125" s="12" t="inlineStr">
        <is>
          <t>-</t>
        </is>
      </c>
      <c r="F125" s="12" t="inlineStr">
        <is>
          <t>管理者（ID=2）でcapacityもticketTypesも指定せずに登録する</t>
        </is>
      </c>
      <c r="G125" s="12" t="inlineStr">
        <is>
          <t>400「定員を入力してください」（E-B-006）</t>
        </is>
      </c>
      <c r="H125" s="12" t="inlineStr">
        <is>
          <t>eventsは変更されない</t>
        </is>
      </c>
      <c r="I125" s="12" t="inlineStr">
        <is>
          <t>-</t>
        </is>
      </c>
      <c r="J125" s="12" t="inlineStr">
        <is>
          <t>R-11</t>
        </is>
      </c>
      <c r="K125" s="12" t="inlineStr">
        <is>
          <t>自動</t>
        </is>
      </c>
      <c r="L125" s="12" t="inlineStr">
        <is>
          <t>ap120_定員も参加区分も未指定なら400</t>
        </is>
      </c>
      <c r="M125" s="12" t="inlineStr">
        <is>
          <t>OK</t>
        </is>
      </c>
      <c r="N125" s="23" t="n">
        <v>46302</v>
      </c>
      <c r="O125" s="12" t="inlineStr">
        <is>
          <t>佐々木（Claude Code）</t>
        </is>
      </c>
      <c r="P125" s="12" t="inlineStr">
        <is>
          <t>自動テスト成功</t>
        </is>
      </c>
      <c r="Q125" s="12" t="inlineStr">
        <is>
          <t>evidence/IT/IT_API結合_結果一覧_20261007.txt</t>
        </is>
      </c>
      <c r="R125" s="12" t="n"/>
      <c r="S125" s="12" t="n"/>
      <c r="T125" s="12" t="n"/>
    </row>
    <row r="126" ht="27" customHeight="1">
      <c r="A126" s="12" t="inlineStr">
        <is>
          <t>IT-AP120-E03</t>
        </is>
      </c>
      <c r="B126" s="12" t="inlineStr">
        <is>
          <t>AP-120 イベント登録 POST /api/events</t>
        </is>
      </c>
      <c r="C126" s="12" t="inlineStr">
        <is>
          <t>異常系</t>
        </is>
      </c>
      <c r="D126" s="12" t="inlineStr">
        <is>
          <t>イベント名が未入力だと入力エラーになる</t>
        </is>
      </c>
      <c r="E126" s="12" t="inlineStr">
        <is>
          <t>-</t>
        </is>
      </c>
      <c r="F126" s="12" t="inlineStr">
        <is>
          <t>管理者（ID=2）でnameを空にして登録する</t>
        </is>
      </c>
      <c r="G126" s="12" t="inlineStr">
        <is>
          <t>400、errors[]にname「イベント名を入力してください」（E-V-010）</t>
        </is>
      </c>
      <c r="H126" s="12" t="inlineStr">
        <is>
          <t>eventsは変更されない</t>
        </is>
      </c>
      <c r="I126" s="12" t="inlineStr">
        <is>
          <t>【操作の前と後に実行し、結果が同じことを確認する】
SELECT * FROM events ORDER BY id;</t>
        </is>
      </c>
      <c r="J126" s="12" t="inlineStr">
        <is>
          <t>E-V-010</t>
        </is>
      </c>
      <c r="K126" s="12" t="inlineStr">
        <is>
          <t>手動</t>
        </is>
      </c>
      <c r="L126" s="12" t="n"/>
      <c r="M126" s="12" t="inlineStr">
        <is>
          <t>OK</t>
        </is>
      </c>
      <c r="N126" s="23" t="n">
        <v>46304</v>
      </c>
      <c r="O126" s="12" t="inlineStr">
        <is>
          <t>佐々木</t>
        </is>
      </c>
      <c r="P126" s="12" t="n"/>
      <c r="Q126" s="15" t="inlineStr">
        <is>
          <t>45_テストエビデンス_API結合.xlsx／AP-120</t>
        </is>
      </c>
      <c r="R126" s="12" t="n"/>
      <c r="S126" s="12" t="n"/>
      <c r="T126" s="12" t="n"/>
    </row>
    <row r="127" ht="27" customHeight="1">
      <c r="A127" s="12" t="inlineStr">
        <is>
          <t>IT-AP120-E04</t>
        </is>
      </c>
      <c r="B127" s="12" t="inlineStr">
        <is>
          <t>AP-120 イベント登録 POST /api/events</t>
        </is>
      </c>
      <c r="C127" s="12" t="inlineStr">
        <is>
          <t>異常系</t>
        </is>
      </c>
      <c r="D127" s="12" t="inlineStr">
        <is>
          <t>場所が未入力だと入力エラーになる</t>
        </is>
      </c>
      <c r="E127" s="12" t="inlineStr">
        <is>
          <t>-</t>
        </is>
      </c>
      <c r="F127" s="12" t="inlineStr">
        <is>
          <t>管理者（ID=2）でplaceを空にして登録する</t>
        </is>
      </c>
      <c r="G127" s="12" t="inlineStr">
        <is>
          <t>400、errors[]にplace「場所を入力してください」（E-V-012）</t>
        </is>
      </c>
      <c r="H127" s="12" t="inlineStr">
        <is>
          <t>eventsは変更されない</t>
        </is>
      </c>
      <c r="I127" s="12" t="inlineStr">
        <is>
          <t>【操作の前と後に実行し、結果が同じことを確認する】
SELECT * FROM events ORDER BY id;</t>
        </is>
      </c>
      <c r="J127" s="12" t="inlineStr">
        <is>
          <t>E-V-012</t>
        </is>
      </c>
      <c r="K127" s="12" t="inlineStr">
        <is>
          <t>手動</t>
        </is>
      </c>
      <c r="L127" s="12" t="n"/>
      <c r="M127" s="12" t="inlineStr">
        <is>
          <t>OK</t>
        </is>
      </c>
      <c r="N127" s="23" t="n">
        <v>46304</v>
      </c>
      <c r="O127" s="12" t="inlineStr">
        <is>
          <t>佐々木</t>
        </is>
      </c>
      <c r="P127" s="12" t="n"/>
      <c r="Q127" s="15" t="inlineStr">
        <is>
          <t>45_テストエビデンス_API結合.xlsx／AP-120</t>
        </is>
      </c>
      <c r="R127" s="12" t="n"/>
      <c r="S127" s="12" t="n"/>
      <c r="T127" s="12" t="n"/>
    </row>
    <row r="128" ht="27" customHeight="1">
      <c r="A128" s="12" t="inlineStr">
        <is>
          <t>IT-AP120-E05</t>
        </is>
      </c>
      <c r="B128" s="12" t="inlineStr">
        <is>
          <t>AP-120 イベント登録 POST /api/events</t>
        </is>
      </c>
      <c r="C128" s="12" t="inlineStr">
        <is>
          <t>異常系</t>
        </is>
      </c>
      <c r="D128" s="12" t="inlineStr">
        <is>
          <t>開催日時が過去だと入力エラーになる</t>
        </is>
      </c>
      <c r="E128" s="12" t="inlineStr">
        <is>
          <t>-</t>
        </is>
      </c>
      <c r="F128" s="12" t="inlineStr">
        <is>
          <t>管理者（ID=2）でstartAtを過去の日時にして登録する</t>
        </is>
      </c>
      <c r="G128" s="12" t="inlineStr">
        <is>
          <t>400、errors[]にstartAt「未来の日時を入力してください」（E-V-011）</t>
        </is>
      </c>
      <c r="H128" s="12" t="inlineStr">
        <is>
          <t>eventsは変更されない</t>
        </is>
      </c>
      <c r="I128" s="12" t="inlineStr">
        <is>
          <t>【操作の前と後に実行し、結果が同じことを確認する】
SELECT * FROM events ORDER BY id;</t>
        </is>
      </c>
      <c r="J128" s="12" t="inlineStr">
        <is>
          <t>E-V-011</t>
        </is>
      </c>
      <c r="K128" s="12" t="inlineStr">
        <is>
          <t>手動</t>
        </is>
      </c>
      <c r="L128" s="12" t="n"/>
      <c r="M128" s="12" t="inlineStr">
        <is>
          <t>OK</t>
        </is>
      </c>
      <c r="N128" s="23" t="n">
        <v>46304</v>
      </c>
      <c r="O128" s="12" t="inlineStr">
        <is>
          <t>佐々木</t>
        </is>
      </c>
      <c r="P128" s="12" t="n"/>
      <c r="Q128" s="15" t="inlineStr">
        <is>
          <t>45_テストエビデンス_API結合.xlsx／AP-120</t>
        </is>
      </c>
      <c r="R128" s="12" t="n"/>
      <c r="S128" s="12" t="n"/>
      <c r="T128" s="12" t="n"/>
    </row>
    <row r="129" ht="27" customHeight="1">
      <c r="A129" s="12" t="inlineStr">
        <is>
          <t>IT-AP120-E06</t>
        </is>
      </c>
      <c r="B129" s="12" t="inlineStr">
        <is>
          <t>AP-120 イベント登録 POST /api/events</t>
        </is>
      </c>
      <c r="C129" s="12" t="inlineStr">
        <is>
          <t>異常系</t>
        </is>
      </c>
      <c r="D129" s="12" t="inlineStr">
        <is>
          <t>申込締切が開催日時と同じ日時だと入力エラーになる（境界）</t>
        </is>
      </c>
      <c r="E129" s="12" t="inlineStr">
        <is>
          <t>-</t>
        </is>
      </c>
      <c r="F129" s="12" t="inlineStr">
        <is>
          <t>管理者（ID=2）でapplicationDeadlineをstartAtと同じ日時にして登録する</t>
        </is>
      </c>
      <c r="G129" s="12" t="inlineStr">
        <is>
          <t>400「申込締切は開催日時より前にしてください」（E-V-021）</t>
        </is>
      </c>
      <c r="H129" s="12" t="inlineStr">
        <is>
          <t>eventsは変更されない</t>
        </is>
      </c>
      <c r="I129" s="12" t="inlineStr">
        <is>
          <t>-</t>
        </is>
      </c>
      <c r="J129" s="12" t="inlineStr">
        <is>
          <t>C-01</t>
        </is>
      </c>
      <c r="K129" s="12" t="inlineStr">
        <is>
          <t>自動</t>
        </is>
      </c>
      <c r="L129" s="12" t="inlineStr">
        <is>
          <t>ap120_申込締切と開催日時が同じ日時なら400</t>
        </is>
      </c>
      <c r="M129" s="12" t="inlineStr">
        <is>
          <t>OK</t>
        </is>
      </c>
      <c r="N129" s="23" t="n">
        <v>46302</v>
      </c>
      <c r="O129" s="12" t="inlineStr">
        <is>
          <t>佐々木（Claude Code）</t>
        </is>
      </c>
      <c r="P129" s="12" t="inlineStr">
        <is>
          <t>自動テスト成功</t>
        </is>
      </c>
      <c r="Q129" s="12" t="inlineStr">
        <is>
          <t>evidence/IT/IT_API結合_結果一覧_20261007.txt</t>
        </is>
      </c>
      <c r="R129" s="12" t="n"/>
      <c r="S129" s="12" t="n"/>
      <c r="T129" s="12" t="n"/>
    </row>
    <row r="130" ht="27" customHeight="1">
      <c r="A130" s="12" t="inlineStr">
        <is>
          <t>IT-AP120-E07</t>
        </is>
      </c>
      <c r="B130" s="12" t="inlineStr">
        <is>
          <t>AP-120 イベント登録 POST /api/events</t>
        </is>
      </c>
      <c r="C130" s="12" t="inlineStr">
        <is>
          <t>異常系</t>
        </is>
      </c>
      <c r="D130" s="12" t="inlineStr">
        <is>
          <t>定員が0だと入力エラーになる（下限未満）</t>
        </is>
      </c>
      <c r="E130" s="12" t="inlineStr">
        <is>
          <t>-</t>
        </is>
      </c>
      <c r="F130" s="12" t="inlineStr">
        <is>
          <t>管理者（ID=2）でcapacityを0にして登録する</t>
        </is>
      </c>
      <c r="G130" s="12" t="inlineStr">
        <is>
          <t>400、errors[]にcapacity「1以上で入力してください」（E-V-013）</t>
        </is>
      </c>
      <c r="H130" s="12" t="inlineStr">
        <is>
          <t>eventsは変更されない</t>
        </is>
      </c>
      <c r="I130" s="12" t="inlineStr">
        <is>
          <t>【操作の前と後に実行し、結果が同じことを確認する】
SELECT * FROM events ORDER BY id;</t>
        </is>
      </c>
      <c r="J130" s="12" t="inlineStr">
        <is>
          <t>E-V-013</t>
        </is>
      </c>
      <c r="K130" s="12" t="inlineStr">
        <is>
          <t>手動</t>
        </is>
      </c>
      <c r="L130" s="12" t="n"/>
      <c r="M130" s="12" t="inlineStr">
        <is>
          <t>OK</t>
        </is>
      </c>
      <c r="N130" s="23" t="n">
        <v>46304</v>
      </c>
      <c r="O130" s="12" t="inlineStr">
        <is>
          <t>佐々木</t>
        </is>
      </c>
      <c r="P130" s="12" t="n"/>
      <c r="Q130" s="15" t="inlineStr">
        <is>
          <t>45_テストエビデンス_API結合.xlsx／AP-120</t>
        </is>
      </c>
      <c r="R130" s="12" t="n"/>
      <c r="S130" s="12" t="n"/>
      <c r="T130" s="12" t="n"/>
    </row>
    <row r="131" ht="27" customHeight="1">
      <c r="A131" s="12" t="inlineStr">
        <is>
          <t>IT-AP120-E08</t>
        </is>
      </c>
      <c r="B131" s="12" t="inlineStr">
        <is>
          <t>AP-120 イベント登録 POST /api/events</t>
        </is>
      </c>
      <c r="C131" s="12" t="inlineStr">
        <is>
          <t>異常系</t>
        </is>
      </c>
      <c r="D131" s="12" t="inlineStr">
        <is>
          <t>イベント名が101文字だと入力エラーになる（上限超過）</t>
        </is>
      </c>
      <c r="E131" s="12" t="inlineStr">
        <is>
          <t>-</t>
        </is>
      </c>
      <c r="F131" s="12" t="inlineStr">
        <is>
          <t>管理者（ID=2）でnameを101文字にして登録する</t>
        </is>
      </c>
      <c r="G131" s="12" t="inlineStr">
        <is>
          <t>400、errors[]にname「100文字以内で入力してください」（E-V-010）</t>
        </is>
      </c>
      <c r="H131" s="12" t="inlineStr">
        <is>
          <t>eventsは変更されない</t>
        </is>
      </c>
      <c r="I131" s="12" t="inlineStr">
        <is>
          <t>【操作の前と後に実行し、結果が同じことを確認する】
SELECT * FROM events ORDER BY id;</t>
        </is>
      </c>
      <c r="J131" s="12" t="inlineStr">
        <is>
          <t>E-V-010</t>
        </is>
      </c>
      <c r="K131" s="12" t="inlineStr">
        <is>
          <t>手動</t>
        </is>
      </c>
      <c r="L131" s="12" t="n"/>
      <c r="M131" s="12" t="inlineStr">
        <is>
          <t>OK</t>
        </is>
      </c>
      <c r="N131" s="23" t="n">
        <v>46304</v>
      </c>
      <c r="O131" s="12" t="inlineStr">
        <is>
          <t>佐々木</t>
        </is>
      </c>
      <c r="P131" s="12" t="n"/>
      <c r="Q131" s="15" t="inlineStr">
        <is>
          <t>45_テストエビデンス_API結合.xlsx／AP-120</t>
        </is>
      </c>
      <c r="R131" s="12" t="n"/>
      <c r="S131" s="12" t="n"/>
      <c r="T131" s="12" t="n"/>
    </row>
    <row r="132" ht="27" customHeight="1">
      <c r="A132" s="12" t="inlineStr">
        <is>
          <t>IT-AP120-E09</t>
        </is>
      </c>
      <c r="B132" s="12" t="inlineStr">
        <is>
          <t>AP-120 イベント登録 POST /api/events</t>
        </is>
      </c>
      <c r="C132" s="12" t="inlineStr">
        <is>
          <t>異常系</t>
        </is>
      </c>
      <c r="D132" s="12" t="inlineStr">
        <is>
          <t>画像URLがhttp・https以外だと入力エラーになる</t>
        </is>
      </c>
      <c r="E132" s="12" t="inlineStr">
        <is>
          <t>-</t>
        </is>
      </c>
      <c r="F132" s="12" t="inlineStr">
        <is>
          <t>管理者（ID=2）でimageUrlをjavascript:alert(1)にして登録する</t>
        </is>
      </c>
      <c r="G132" s="12" t="inlineStr">
        <is>
          <t>400、errors[]にimageUrl「httpまたはhttpsで始まるURLを入力してください」（E-V-017）</t>
        </is>
      </c>
      <c r="H132" s="12" t="inlineStr">
        <is>
          <t>eventsは変更されない</t>
        </is>
      </c>
      <c r="I132" s="12" t="inlineStr">
        <is>
          <t>【操作の前と後に実行し、結果が同じことを確認する】
SELECT * FROM events ORDER BY id;</t>
        </is>
      </c>
      <c r="J132" s="12" t="inlineStr">
        <is>
          <t>24_方式設計書 8章</t>
        </is>
      </c>
      <c r="K132" s="12" t="inlineStr">
        <is>
          <t>手動</t>
        </is>
      </c>
      <c r="L132" s="12" t="n"/>
      <c r="M132" s="12" t="inlineStr">
        <is>
          <t>OK</t>
        </is>
      </c>
      <c r="N132" s="23" t="n">
        <v>46304</v>
      </c>
      <c r="O132" s="12" t="inlineStr">
        <is>
          <t>佐々木</t>
        </is>
      </c>
      <c r="P132" s="12" t="n"/>
      <c r="Q132" s="15" t="inlineStr">
        <is>
          <t>45_テストエビデンス_API結合.xlsx／AP-120</t>
        </is>
      </c>
      <c r="R132" s="12" t="n"/>
      <c r="S132" s="12" t="n"/>
      <c r="T132" s="12" t="n"/>
    </row>
    <row r="133" ht="27" customHeight="1">
      <c r="A133" s="12" t="inlineStr">
        <is>
          <t>IT-AP120-E10</t>
        </is>
      </c>
      <c r="B133" s="12" t="inlineStr">
        <is>
          <t>AP-120 イベント登録 POST /api/events</t>
        </is>
      </c>
      <c r="C133" s="12" t="inlineStr">
        <is>
          <t>異常系</t>
        </is>
      </c>
      <c r="D133" s="12" t="inlineStr">
        <is>
          <t>同じ名前の参加区分を2つ指定すると登録できない</t>
        </is>
      </c>
      <c r="E133" s="12" t="inlineStr">
        <is>
          <t>-</t>
        </is>
      </c>
      <c r="F133" s="12" t="inlineStr">
        <is>
          <t>管理者（ID=2）でticketTypesに同じnameの区分を2件指定する</t>
        </is>
      </c>
      <c r="G133" s="12" t="inlineStr">
        <is>
          <t>400「区分名が重複しています」（E-B-008）</t>
        </is>
      </c>
      <c r="H133" s="12" t="inlineStr">
        <is>
          <t>events・ticket_typesは変更されない</t>
        </is>
      </c>
      <c r="I133" s="12" t="inlineStr">
        <is>
          <t>【操作の前と後に実行し、結果が同じことを確認する】
SELECT * FROM events ORDER BY id;
SELECT * FROM ticket_types ORDER BY event_id, id;</t>
        </is>
      </c>
      <c r="J133" s="12" t="inlineStr">
        <is>
          <t>R-10</t>
        </is>
      </c>
      <c r="K133" s="12" t="inlineStr">
        <is>
          <t>手動</t>
        </is>
      </c>
      <c r="L133" s="12" t="n"/>
      <c r="M133" s="12" t="inlineStr">
        <is>
          <t>OK</t>
        </is>
      </c>
      <c r="N133" s="23" t="n">
        <v>46304</v>
      </c>
      <c r="O133" s="12" t="inlineStr">
        <is>
          <t>佐々木</t>
        </is>
      </c>
      <c r="P133" s="12" t="n"/>
      <c r="Q133" s="15" t="inlineStr">
        <is>
          <t>45_テストエビデンス_API結合.xlsx／AP-120</t>
        </is>
      </c>
      <c r="R133" s="12" t="n"/>
      <c r="S133" s="12" t="n"/>
      <c r="T133" s="12" t="n"/>
    </row>
    <row r="134" ht="27" customHeight="1">
      <c r="A134" s="12" t="inlineStr">
        <is>
          <t>IT-AP121-N01</t>
        </is>
      </c>
      <c r="B134" s="12" t="inlineStr">
        <is>
          <t>AP-121 イベント更新 PUT /api/events/{id}</t>
        </is>
      </c>
      <c r="C134" s="12" t="inlineStr">
        <is>
          <t>正常系</t>
        </is>
      </c>
      <c r="D134" s="12" t="inlineStr">
        <is>
          <t>参加区分を指定せずに名称を変更できる</t>
        </is>
      </c>
      <c r="E134" s="12" t="inlineStr">
        <is>
          <t>TD-01</t>
        </is>
      </c>
      <c r="F134" s="12" t="inlineStr">
        <is>
          <t>管理者（ID=2）でTD-01のnameだけを変え、ticketTypesは指定しない</t>
        </is>
      </c>
      <c r="G134" s="12" t="inlineStr">
        <is>
          <t>200。変更後の名称が返る</t>
        </is>
      </c>
      <c r="H134" s="12" t="inlineStr">
        <is>
          <t>events.nameが更新される。ticket_typesの行は変更されない</t>
        </is>
      </c>
      <c r="I134" s="12" t="inlineStr">
        <is>
          <t>【操作の前と後に実行し、期待結果のとおりであることを確認する】
SELECT id, name, start_at, place, capacity, application_deadline, deleted_at, updated_at FROM events ORDER BY id;
SELECT id, event_id, name, capacity, updated_at FROM ticket_types ORDER BY event_id, id;</t>
        </is>
      </c>
      <c r="J134" s="12" t="inlineStr">
        <is>
          <t>AP-121</t>
        </is>
      </c>
      <c r="K134" s="12" t="inlineStr">
        <is>
          <t>手動</t>
        </is>
      </c>
      <c r="L134" s="12" t="n"/>
      <c r="M134" s="12" t="inlineStr">
        <is>
          <t>OK</t>
        </is>
      </c>
      <c r="N134" s="23" t="n">
        <v>46304</v>
      </c>
      <c r="O134" s="12" t="inlineStr">
        <is>
          <t>佐々木</t>
        </is>
      </c>
      <c r="P134" s="12" t="n"/>
      <c r="Q134" s="15" t="inlineStr">
        <is>
          <t>45_テストエビデンス_API結合.xlsx／AP-121</t>
        </is>
      </c>
      <c r="R134" s="12" t="n"/>
      <c r="S134" s="12" t="n"/>
      <c r="T134" s="12" t="n"/>
    </row>
    <row r="135" ht="27" customHeight="1">
      <c r="A135" s="12" t="inlineStr">
        <is>
          <t>IT-AP121-N02</t>
        </is>
      </c>
      <c r="B135" s="12" t="inlineStr">
        <is>
          <t>AP-121 イベント更新 PUT /api/events/{id}</t>
        </is>
      </c>
      <c r="C135" s="12" t="inlineStr">
        <is>
          <t>正常系</t>
        </is>
      </c>
      <c r="D135" s="12" t="inlineStr">
        <is>
          <t>参加区分を空にすると区分が解除される</t>
        </is>
      </c>
      <c r="E135" s="12" t="inlineStr">
        <is>
          <t>TD-01（申込なし）</t>
        </is>
      </c>
      <c r="F135" s="12" t="inlineStr">
        <is>
          <t>管理者（ID=2）でticketTypesを空の配列、capacityを5にして更新する</t>
        </is>
      </c>
      <c r="G135" s="12" t="inlineStr">
        <is>
          <t>200、ticketTypesが空、capacity=5</t>
        </is>
      </c>
      <c r="H135" s="12" t="inlineStr">
        <is>
          <t>ticket_typesのTD-01の行が全て削除される。events.capacity=5</t>
        </is>
      </c>
      <c r="I135" s="12" t="inlineStr">
        <is>
          <t>【操作の前と後に実行し、期待結果のとおりであることを確認する】
SELECT id, name, start_at, place, capacity, application_deadline, deleted_at, updated_at FROM events ORDER BY id;
SELECT id, event_id, name, capacity, updated_at FROM ticket_types ORDER BY event_id, id;</t>
        </is>
      </c>
      <c r="J135" s="12" t="inlineStr">
        <is>
          <t>AP-121</t>
        </is>
      </c>
      <c r="K135" s="12" t="inlineStr">
        <is>
          <t>手動</t>
        </is>
      </c>
      <c r="L135" s="12" t="n"/>
      <c r="M135" s="12" t="inlineStr">
        <is>
          <t>OK</t>
        </is>
      </c>
      <c r="N135" s="23" t="n">
        <v>46304</v>
      </c>
      <c r="O135" s="12" t="inlineStr">
        <is>
          <t>佐々木</t>
        </is>
      </c>
      <c r="P135" s="12" t="n"/>
      <c r="Q135" s="15" t="inlineStr">
        <is>
          <t>45_テストエビデンス_API結合.xlsx／AP-121</t>
        </is>
      </c>
      <c r="R135" s="12" t="n"/>
      <c r="S135" s="12" t="n"/>
      <c r="T135" s="12" t="n"/>
    </row>
    <row r="136" ht="27" customHeight="1">
      <c r="A136" s="12" t="inlineStr">
        <is>
          <t>IT-AP121-N03</t>
        </is>
      </c>
      <c r="B136" s="12" t="inlineStr">
        <is>
          <t>AP-121 イベント更新 PUT /api/events/{id}</t>
        </is>
      </c>
      <c r="C136" s="12" t="inlineStr">
        <is>
          <t>正常系</t>
        </is>
      </c>
      <c r="D136" s="12" t="inlineStr">
        <is>
          <t>既存と同じ区分名・定員を送り直しても更新できる</t>
        </is>
      </c>
      <c r="E136" s="12" t="inlineStr">
        <is>
          <t>参加区分付きのイベント（申込なし）</t>
        </is>
      </c>
      <c r="F136" s="12" t="inlineStr">
        <is>
          <t>管理者（ID=2）で場所だけを変え、既存と同じticketTypesを送る</t>
        </is>
      </c>
      <c r="G136" s="12" t="inlineStr">
        <is>
          <t>200。場所が変わり、区分は同じ内容</t>
        </is>
      </c>
      <c r="H136" s="12" t="inlineStr">
        <is>
          <t>events.placeが更新される。ticket_typesは同じ区分名・定員の行になる</t>
        </is>
      </c>
      <c r="I136" s="12" t="inlineStr">
        <is>
          <t>-</t>
        </is>
      </c>
      <c r="J136" s="12" t="inlineStr">
        <is>
          <t>AP-121</t>
        </is>
      </c>
      <c r="K136" s="12" t="inlineStr">
        <is>
          <t>自動</t>
        </is>
      </c>
      <c r="L136" s="12" t="inlineStr">
        <is>
          <t>ap121_既存と同じ区分名を送り直しても更新できる</t>
        </is>
      </c>
      <c r="M136" s="12" t="inlineStr">
        <is>
          <t>OK</t>
        </is>
      </c>
      <c r="N136" s="23" t="n">
        <v>46302</v>
      </c>
      <c r="O136" s="12" t="inlineStr">
        <is>
          <t>佐々木（Claude Code）</t>
        </is>
      </c>
      <c r="P136" s="12" t="inlineStr">
        <is>
          <t>自動テスト成功</t>
        </is>
      </c>
      <c r="Q136" s="12" t="inlineStr">
        <is>
          <t>evidence/IT/IT_API結合_結果一覧_20261007.txt</t>
        </is>
      </c>
      <c r="R136" s="12" t="n"/>
      <c r="S136" s="12" t="n"/>
      <c r="T136" s="12" t="n"/>
    </row>
    <row r="137" ht="27" customHeight="1">
      <c r="A137" s="12" t="inlineStr">
        <is>
          <t>IT-AP121-N04</t>
        </is>
      </c>
      <c r="B137" s="12" t="inlineStr">
        <is>
          <t>AP-121 イベント更新 PUT /api/events/{id}</t>
        </is>
      </c>
      <c r="C137" s="12" t="inlineStr">
        <is>
          <t>正常系</t>
        </is>
      </c>
      <c r="D137" s="12" t="inlineStr">
        <is>
          <t>区分名を一部残したまま区分を変更できる</t>
        </is>
      </c>
      <c r="E137" s="12" t="inlineStr">
        <is>
          <t>参加区分付きのイベント（申込なし）</t>
        </is>
      </c>
      <c r="F137" s="12" t="inlineStr">
        <is>
          <t>管理者（ID=2）で一部の区分の定員を変え、別の区分を入れ替えて送る</t>
        </is>
      </c>
      <c r="G137" s="12" t="inlineStr">
        <is>
          <t>200。capacityが区分の定員の合計になる</t>
        </is>
      </c>
      <c r="H137" s="12" t="inlineStr">
        <is>
          <t>ticket_typesが指定した内容に置き換わる。events.capacityが合計になる</t>
        </is>
      </c>
      <c r="I137" s="12" t="inlineStr">
        <is>
          <t>-</t>
        </is>
      </c>
      <c r="J137" s="12" t="inlineStr">
        <is>
          <t>AP-121</t>
        </is>
      </c>
      <c r="K137" s="12" t="inlineStr">
        <is>
          <t>自動</t>
        </is>
      </c>
      <c r="L137" s="12" t="inlineStr">
        <is>
          <t>ap121_区分名を一部残したまま区分を変更できる</t>
        </is>
      </c>
      <c r="M137" s="12" t="inlineStr">
        <is>
          <t>OK</t>
        </is>
      </c>
      <c r="N137" s="23" t="n">
        <v>46302</v>
      </c>
      <c r="O137" s="12" t="inlineStr">
        <is>
          <t>佐々木（Claude Code）</t>
        </is>
      </c>
      <c r="P137" s="12" t="inlineStr">
        <is>
          <t>自動テスト成功</t>
        </is>
      </c>
      <c r="Q137" s="12" t="inlineStr">
        <is>
          <t>evidence/IT/IT_API結合_結果一覧_20261007.txt</t>
        </is>
      </c>
      <c r="R137" s="12" t="n"/>
      <c r="S137" s="12" t="n"/>
      <c r="T137" s="12" t="n"/>
    </row>
    <row r="138" ht="27" customHeight="1">
      <c r="A138" s="12" t="inlineStr">
        <is>
          <t>IT-AP121-E01</t>
        </is>
      </c>
      <c r="B138" s="12" t="inlineStr">
        <is>
          <t>AP-121 イベント更新 PUT /api/events/{id}</t>
        </is>
      </c>
      <c r="C138" s="12" t="inlineStr">
        <is>
          <t>異常系</t>
        </is>
      </c>
      <c r="D138" s="12" t="inlineStr">
        <is>
          <t>一般利用者は実行できない</t>
        </is>
      </c>
      <c r="E138" s="12" t="inlineStr">
        <is>
          <t>-</t>
        </is>
      </c>
      <c r="F138" s="12" t="inlineStr">
        <is>
          <t>一般ユーザー（ID=1）で呼ぶ</t>
        </is>
      </c>
      <c r="G138" s="12" t="inlineStr">
        <is>
          <t>403「権限がありません」（E-A-002）</t>
        </is>
      </c>
      <c r="H138" s="12" t="inlineStr">
        <is>
          <t>eventsは変更されない</t>
        </is>
      </c>
      <c r="I138" s="12" t="inlineStr">
        <is>
          <t>【操作の前と後に実行し、結果が同じことを確認する】
SELECT * FROM events ORDER BY id;</t>
        </is>
      </c>
      <c r="J138" s="12" t="inlineStr">
        <is>
          <t>23_API基本設計書 3.2</t>
        </is>
      </c>
      <c r="K138" s="12" t="inlineStr">
        <is>
          <t>手動</t>
        </is>
      </c>
      <c r="L138" s="12" t="n"/>
      <c r="M138" s="12" t="inlineStr">
        <is>
          <t>OK</t>
        </is>
      </c>
      <c r="N138" s="23" t="n">
        <v>46304</v>
      </c>
      <c r="O138" s="12" t="inlineStr">
        <is>
          <t>佐々木</t>
        </is>
      </c>
      <c r="P138" s="12" t="n"/>
      <c r="Q138" s="15" t="inlineStr">
        <is>
          <t>45_テストエビデンス_API結合.xlsx／AP-121</t>
        </is>
      </c>
      <c r="R138" s="12" t="n"/>
      <c r="S138" s="12" t="n"/>
      <c r="T138" s="12" t="n"/>
    </row>
    <row r="139" ht="27" customHeight="1">
      <c r="A139" s="12" t="inlineStr">
        <is>
          <t>IT-AP121-E02</t>
        </is>
      </c>
      <c r="B139" s="12" t="inlineStr">
        <is>
          <t>AP-121 イベント更新 PUT /api/events/{id}</t>
        </is>
      </c>
      <c r="C139" s="12" t="inlineStr">
        <is>
          <t>異常系</t>
        </is>
      </c>
      <c r="D139" s="12" t="inlineStr">
        <is>
          <t>有効な申込がある参加区分は変更できない</t>
        </is>
      </c>
      <c r="E139" s="12" t="inlineStr">
        <is>
          <t>TD-01の区分「一般」に受付済の申込がある</t>
        </is>
      </c>
      <c r="F139" s="12" t="inlineStr">
        <is>
          <t>管理者（ID=2）で区分名を変えたticketTypesを送る</t>
        </is>
      </c>
      <c r="G139" s="12" t="inlineStr">
        <is>
          <t>400「区分に申込があるため変更できません」（E-B-007）</t>
        </is>
      </c>
      <c r="H139" s="12" t="inlineStr">
        <is>
          <t>ticket_types・eventsは変更されない</t>
        </is>
      </c>
      <c r="I139" s="12" t="inlineStr">
        <is>
          <t>【操作の前と後に実行し、結果が同じことを確認する】
SELECT * FROM events ORDER BY id;
SELECT * FROM ticket_types ORDER BY event_id, id;</t>
        </is>
      </c>
      <c r="J139" s="12" t="inlineStr">
        <is>
          <t>R-09</t>
        </is>
      </c>
      <c r="K139" s="12" t="inlineStr">
        <is>
          <t>手動</t>
        </is>
      </c>
      <c r="L139" s="12" t="n"/>
      <c r="M139" s="12" t="inlineStr">
        <is>
          <t>OK</t>
        </is>
      </c>
      <c r="N139" s="23" t="n">
        <v>46304</v>
      </c>
      <c r="O139" s="12" t="inlineStr">
        <is>
          <t>佐々木</t>
        </is>
      </c>
      <c r="P139" s="12" t="n"/>
      <c r="Q139" s="15" t="inlineStr">
        <is>
          <t>45_テストエビデンス_API結合.xlsx／AP-121</t>
        </is>
      </c>
      <c r="R139" s="12" t="n"/>
      <c r="S139" s="12" t="n"/>
      <c r="T139" s="12" t="n"/>
    </row>
    <row r="140" ht="40.5" customHeight="1">
      <c r="A140" s="12" t="inlineStr">
        <is>
          <t>IT-AP121-E03</t>
        </is>
      </c>
      <c r="B140" s="12" t="inlineStr">
        <is>
          <t>AP-121 イベント更新 PUT /api/events/{id}</t>
        </is>
      </c>
      <c r="C140" s="12" t="inlineStr">
        <is>
          <t>異常系</t>
        </is>
      </c>
      <c r="D140" s="12" t="inlineStr">
        <is>
          <t>キャンセル済の申込が参照する参加区分は変更できない</t>
        </is>
      </c>
      <c r="E140" s="12" t="inlineStr">
        <is>
          <t>TD-01の区分「一般」にキャンセル済の申込だけがある</t>
        </is>
      </c>
      <c r="F140" s="12" t="inlineStr">
        <is>
          <t>管理者（ID=2）で区分名を変えたticketTypesを送る</t>
        </is>
      </c>
      <c r="G140" s="12" t="inlineStr">
        <is>
          <t>400「区分に申込の履歴が残っているため変更できません」（E-B-017）</t>
        </is>
      </c>
      <c r="H140" s="12" t="inlineStr">
        <is>
          <t>ticket_types・eventsは変更されない</t>
        </is>
      </c>
      <c r="I140" s="12" t="inlineStr">
        <is>
          <t>【操作の前と後に実行し、結果が同じことを確認する】
SELECT * FROM events ORDER BY id;
SELECT * FROM ticket_types ORDER BY event_id, id;</t>
        </is>
      </c>
      <c r="J140" s="12" t="inlineStr">
        <is>
          <t>32_処理詳細設計書 4章 AP-120／AP-121 No.8</t>
        </is>
      </c>
      <c r="K140" s="12" t="inlineStr">
        <is>
          <t>手動</t>
        </is>
      </c>
      <c r="L140" s="12" t="n"/>
      <c r="M140" s="12" t="inlineStr">
        <is>
          <t>OK</t>
        </is>
      </c>
      <c r="N140" s="23" t="n">
        <v>46304</v>
      </c>
      <c r="O140" s="12" t="inlineStr">
        <is>
          <t>佐々木</t>
        </is>
      </c>
      <c r="P140" s="12" t="n"/>
      <c r="Q140" s="15" t="inlineStr">
        <is>
          <t>45_テストエビデンス_API結合.xlsx／AP-121</t>
        </is>
      </c>
      <c r="R140" s="12" t="n"/>
      <c r="S140" s="12" t="n"/>
      <c r="T140" s="12" t="n"/>
    </row>
    <row r="141" ht="27" customHeight="1">
      <c r="A141" s="12" t="inlineStr">
        <is>
          <t>IT-AP121-E04</t>
        </is>
      </c>
      <c r="B141" s="12" t="inlineStr">
        <is>
          <t>AP-121 イベント更新 PUT /api/events/{id}</t>
        </is>
      </c>
      <c r="C141" s="12" t="inlineStr">
        <is>
          <t>異常系</t>
        </is>
      </c>
      <c r="D141" s="12" t="inlineStr">
        <is>
          <t>存在しないイベントは更新できない</t>
        </is>
      </c>
      <c r="E141" s="12" t="inlineStr">
        <is>
          <t>-</t>
        </is>
      </c>
      <c r="F141" s="12" t="inlineStr">
        <is>
          <t>管理者（ID=2）でPUT /api/events/99999</t>
        </is>
      </c>
      <c r="G141" s="12" t="inlineStr">
        <is>
          <t>404「イベントが見つかりません」（E-B-001）</t>
        </is>
      </c>
      <c r="H141" s="12" t="inlineStr">
        <is>
          <t>eventsは変更されない</t>
        </is>
      </c>
      <c r="I141" s="12" t="inlineStr">
        <is>
          <t>【操作の前と後に実行し、結果が同じことを確認する】
SELECT * FROM events ORDER BY id;</t>
        </is>
      </c>
      <c r="J141" s="12" t="inlineStr">
        <is>
          <t>AP-121</t>
        </is>
      </c>
      <c r="K141" s="12" t="inlineStr">
        <is>
          <t>手動</t>
        </is>
      </c>
      <c r="L141" s="12" t="n"/>
      <c r="M141" s="12" t="inlineStr">
        <is>
          <t>OK</t>
        </is>
      </c>
      <c r="N141" s="23" t="n">
        <v>46304</v>
      </c>
      <c r="O141" s="12" t="inlineStr">
        <is>
          <t>佐々木</t>
        </is>
      </c>
      <c r="P141" s="12" t="n"/>
      <c r="Q141" s="15" t="inlineStr">
        <is>
          <t>45_テストエビデンス_API結合.xlsx／AP-121</t>
        </is>
      </c>
      <c r="R141" s="12" t="n"/>
      <c r="S141" s="12" t="n"/>
      <c r="T141" s="12" t="n"/>
    </row>
    <row r="142" ht="27" customHeight="1">
      <c r="A142" s="12" t="inlineStr">
        <is>
          <t>IT-AP121-E05</t>
        </is>
      </c>
      <c r="B142" s="12" t="inlineStr">
        <is>
          <t>AP-121 イベント更新 PUT /api/events/{id}</t>
        </is>
      </c>
      <c r="C142" s="12" t="inlineStr">
        <is>
          <t>異常系</t>
        </is>
      </c>
      <c r="D142" s="12" t="inlineStr">
        <is>
          <t>申込締切を開催日時と同じ日時には更新できない</t>
        </is>
      </c>
      <c r="E142" s="12" t="inlineStr">
        <is>
          <t>TD-02</t>
        </is>
      </c>
      <c r="F142" s="12" t="inlineStr">
        <is>
          <t>管理者（ID=2）でapplicationDeadlineをstartAtと同じ日時にして更新する</t>
        </is>
      </c>
      <c r="G142" s="12" t="inlineStr">
        <is>
          <t>400「申込締切は開催日時より前にしてください」（E-V-021）</t>
        </is>
      </c>
      <c r="H142" s="12" t="inlineStr">
        <is>
          <t>TD-02のeventsの行は変更されない</t>
        </is>
      </c>
      <c r="I142" s="12" t="inlineStr">
        <is>
          <t>-</t>
        </is>
      </c>
      <c r="J142" s="12" t="inlineStr">
        <is>
          <t>C-01</t>
        </is>
      </c>
      <c r="K142" s="12" t="inlineStr">
        <is>
          <t>自動</t>
        </is>
      </c>
      <c r="L142" s="12" t="inlineStr">
        <is>
          <t>ap121_申込締切と開催日時が同じ日時には更新できない</t>
        </is>
      </c>
      <c r="M142" s="12" t="inlineStr">
        <is>
          <t>OK</t>
        </is>
      </c>
      <c r="N142" s="23" t="n">
        <v>46302</v>
      </c>
      <c r="O142" s="12" t="inlineStr">
        <is>
          <t>佐々木（Claude Code）</t>
        </is>
      </c>
      <c r="P142" s="12" t="inlineStr">
        <is>
          <t>自動テスト成功</t>
        </is>
      </c>
      <c r="Q142" s="12" t="inlineStr">
        <is>
          <t>evidence/IT/IT_API結合_結果一覧_20261007.txt</t>
        </is>
      </c>
      <c r="R142" s="12" t="n"/>
      <c r="S142" s="12" t="n"/>
      <c r="T142" s="12" t="n"/>
    </row>
    <row r="143" ht="27" customHeight="1">
      <c r="A143" s="12" t="inlineStr">
        <is>
          <t>IT-AP121-E06</t>
        </is>
      </c>
      <c r="B143" s="12" t="inlineStr">
        <is>
          <t>AP-121 イベント更新 PUT /api/events/{id}</t>
        </is>
      </c>
      <c r="C143" s="12" t="inlineStr">
        <is>
          <t>異常系</t>
        </is>
      </c>
      <c r="D143" s="12" t="inlineStr">
        <is>
          <t>定員を指定せずに参加区分を空にすると更新できない</t>
        </is>
      </c>
      <c r="E143" s="12" t="inlineStr">
        <is>
          <t>TD-01（申込なし）</t>
        </is>
      </c>
      <c r="F143" s="12" t="inlineStr">
        <is>
          <t>管理者（ID=2）でticketTypesを空の配列にし、capacityを指定しない</t>
        </is>
      </c>
      <c r="G143" s="12" t="inlineStr">
        <is>
          <t>400「定員を入力してください」（E-B-006）</t>
        </is>
      </c>
      <c r="H143" s="12" t="inlineStr">
        <is>
          <t>events・ticket_typesは変更されない</t>
        </is>
      </c>
      <c r="I143" s="12" t="inlineStr">
        <is>
          <t>【操作の前と後に実行し、結果が同じことを確認する】
SELECT * FROM events ORDER BY id;
SELECT * FROM ticket_types ORDER BY event_id, id;</t>
        </is>
      </c>
      <c r="J143" s="12" t="inlineStr">
        <is>
          <t>R-11</t>
        </is>
      </c>
      <c r="K143" s="12" t="inlineStr">
        <is>
          <t>手動</t>
        </is>
      </c>
      <c r="L143" s="12" t="n"/>
      <c r="M143" s="12" t="inlineStr">
        <is>
          <t>OK</t>
        </is>
      </c>
      <c r="N143" s="23" t="n">
        <v>46304</v>
      </c>
      <c r="O143" s="12" t="inlineStr">
        <is>
          <t>佐々木</t>
        </is>
      </c>
      <c r="P143" s="12" t="n"/>
      <c r="Q143" s="15" t="inlineStr">
        <is>
          <t>45_テストエビデンス_API結合.xlsx／AP-121</t>
        </is>
      </c>
      <c r="R143" s="12" t="n"/>
      <c r="S143" s="12" t="n"/>
      <c r="T143" s="12" t="n"/>
    </row>
    <row r="144" ht="40.5" customHeight="1">
      <c r="A144" s="12" t="inlineStr">
        <is>
          <t>IT-AP122-N01</t>
        </is>
      </c>
      <c r="B144" s="12" t="inlineStr">
        <is>
          <t>AP-122 イベント削除 DELETE /api/events/{id}</t>
        </is>
      </c>
      <c r="C144" s="12" t="inlineStr">
        <is>
          <t>正常系</t>
        </is>
      </c>
      <c r="D144" s="12" t="inlineStr">
        <is>
          <t>申込の無いイベントを削除できる</t>
        </is>
      </c>
      <c r="E144" s="12" t="inlineStr">
        <is>
          <t>TD-03（申込なし）</t>
        </is>
      </c>
      <c r="F144" s="12" t="inlineStr">
        <is>
          <t>管理者（ID=2）でTD-03のIDを指定する</t>
        </is>
      </c>
      <c r="G144" s="12" t="inlineStr">
        <is>
          <t>204</t>
        </is>
      </c>
      <c r="H144" s="12" t="inlineStr">
        <is>
          <t>TD-03のeventsの行は残り、deleted_atに日時が入る</t>
        </is>
      </c>
      <c r="I144" s="12" t="inlineStr">
        <is>
          <t>【操作の前と後に実行し、期待結果のとおりであることを確認する】
SELECT id, name, start_at, place, capacity, application_deadline, deleted_at, updated_at FROM events ORDER BY id;</t>
        </is>
      </c>
      <c r="J144" s="12" t="inlineStr">
        <is>
          <t>AP-122、R-07</t>
        </is>
      </c>
      <c r="K144" s="12" t="inlineStr">
        <is>
          <t>手動</t>
        </is>
      </c>
      <c r="L144" s="12" t="n"/>
      <c r="M144" s="12" t="inlineStr">
        <is>
          <t>OK</t>
        </is>
      </c>
      <c r="N144" s="23" t="n">
        <v>46304</v>
      </c>
      <c r="O144" s="12" t="inlineStr">
        <is>
          <t>佐々木</t>
        </is>
      </c>
      <c r="P144" s="12" t="n"/>
      <c r="Q144" s="15" t="inlineStr">
        <is>
          <t>45_テストエビデンス_API結合.xlsx／AP-122</t>
        </is>
      </c>
      <c r="R144" s="12" t="n"/>
      <c r="S144" s="12" t="n"/>
      <c r="T144" s="12" t="n"/>
    </row>
    <row r="145" ht="40.5" customHeight="1">
      <c r="A145" s="12" t="inlineStr">
        <is>
          <t>IT-AP122-N02</t>
        </is>
      </c>
      <c r="B145" s="12" t="inlineStr">
        <is>
          <t>AP-122 イベント削除 DELETE /api/events/{id}</t>
        </is>
      </c>
      <c r="C145" s="12" t="inlineStr">
        <is>
          <t>正常系</t>
        </is>
      </c>
      <c r="D145" s="12" t="inlineStr">
        <is>
          <t>キャンセル待ちの申込だけがあるイベントは削除できる</t>
        </is>
      </c>
      <c r="E145" s="12" t="inlineStr">
        <is>
          <t>受付済の申込が無く、キャンセル待ちの申込があるイベント</t>
        </is>
      </c>
      <c r="F145" s="12" t="inlineStr">
        <is>
          <t>管理者（ID=2）でそのイベントのIDを指定する</t>
        </is>
      </c>
      <c r="G145" s="12" t="inlineStr">
        <is>
          <t>204</t>
        </is>
      </c>
      <c r="H145" s="12" t="inlineStr">
        <is>
          <t>events.deleted_atに日時が入る。applicationsの行は削除されず残る</t>
        </is>
      </c>
      <c r="I145" s="12" t="inlineStr">
        <is>
          <t>【操作の前と後に実行し、期待結果のとおりであることを確認する】
SELECT id, name, start_at, place, capacity, application_deadline, deleted_at, updated_at FROM events ORDER BY id;
SELECT id, event_id, user_id, ticket_type_id, status_code, extra_answer, checked_in_at, updated_at FROM applications ORDER BY id;</t>
        </is>
      </c>
      <c r="J145" s="12" t="inlineStr">
        <is>
          <t>R-07</t>
        </is>
      </c>
      <c r="K145" s="12" t="inlineStr">
        <is>
          <t>手動</t>
        </is>
      </c>
      <c r="L145" s="12" t="n"/>
      <c r="M145" s="12" t="inlineStr">
        <is>
          <t>OK</t>
        </is>
      </c>
      <c r="N145" s="23" t="n">
        <v>46304</v>
      </c>
      <c r="O145" s="12" t="inlineStr">
        <is>
          <t>佐々木</t>
        </is>
      </c>
      <c r="P145" s="12" t="n"/>
      <c r="Q145" s="15" t="inlineStr">
        <is>
          <t>45_テストエビデンス_API結合.xlsx／AP-122</t>
        </is>
      </c>
      <c r="R145" s="12" t="n"/>
      <c r="S145" s="12" t="n"/>
      <c r="T145" s="12" t="n"/>
    </row>
    <row r="146" ht="40.5" customHeight="1">
      <c r="A146" s="12" t="inlineStr">
        <is>
          <t>IT-AP122-N03</t>
        </is>
      </c>
      <c r="B146" s="12" t="inlineStr">
        <is>
          <t>AP-122 イベント削除 DELETE /api/events/{id}</t>
        </is>
      </c>
      <c r="C146" s="12" t="inlineStr">
        <is>
          <t>正常系</t>
        </is>
      </c>
      <c r="D146" s="12" t="inlineStr">
        <is>
          <t>削除したイベントは一覧に出なくなる</t>
        </is>
      </c>
      <c r="E146" s="12" t="inlineStr">
        <is>
          <t>TD-03を削除した後</t>
        </is>
      </c>
      <c r="F146" s="12" t="inlineStr">
        <is>
          <t>管理者（ID=2）でGET /api/eventsを呼ぶ</t>
        </is>
      </c>
      <c r="G146" s="12" t="inlineStr">
        <is>
          <t>200。TD-03は含まれない</t>
        </is>
      </c>
      <c r="H146" s="12" t="inlineStr">
        <is>
          <t>-（参照のみ）</t>
        </is>
      </c>
      <c r="I146" s="12" t="inlineStr">
        <is>
          <t>-</t>
        </is>
      </c>
      <c r="J146" s="12" t="inlineStr">
        <is>
          <t>AP-020</t>
        </is>
      </c>
      <c r="K146" s="12" t="inlineStr">
        <is>
          <t>手動</t>
        </is>
      </c>
      <c r="L146" s="12" t="n"/>
      <c r="M146" s="12" t="inlineStr">
        <is>
          <t>OK</t>
        </is>
      </c>
      <c r="N146" s="23" t="n">
        <v>46304</v>
      </c>
      <c r="O146" s="12" t="inlineStr">
        <is>
          <t>佐々木</t>
        </is>
      </c>
      <c r="P146" s="12" t="n"/>
      <c r="Q146" s="15" t="inlineStr">
        <is>
          <t>45_テストエビデンス_API結合.xlsx／AP-122</t>
        </is>
      </c>
      <c r="R146" s="12" t="n"/>
      <c r="S146" s="12" t="n"/>
      <c r="T146" s="12" t="n"/>
    </row>
    <row r="147" ht="40.5" customHeight="1">
      <c r="A147" s="12" t="inlineStr">
        <is>
          <t>IT-AP122-E01</t>
        </is>
      </c>
      <c r="B147" s="12" t="inlineStr">
        <is>
          <t>AP-122 イベント削除 DELETE /api/events/{id}</t>
        </is>
      </c>
      <c r="C147" s="12" t="inlineStr">
        <is>
          <t>異常系</t>
        </is>
      </c>
      <c r="D147" s="12" t="inlineStr">
        <is>
          <t>一般利用者は実行できない</t>
        </is>
      </c>
      <c r="E147" s="12" t="inlineStr">
        <is>
          <t>-</t>
        </is>
      </c>
      <c r="F147" s="12" t="inlineStr">
        <is>
          <t>一般ユーザー（ID=1）で呼ぶ</t>
        </is>
      </c>
      <c r="G147" s="12" t="inlineStr">
        <is>
          <t>403「権限がありません」（E-A-002）</t>
        </is>
      </c>
      <c r="H147" s="12" t="inlineStr">
        <is>
          <t>eventsは変更されない</t>
        </is>
      </c>
      <c r="I147" s="12" t="inlineStr">
        <is>
          <t>【操作の前と後に実行し、結果が同じことを確認する】
SELECT * FROM events ORDER BY id;</t>
        </is>
      </c>
      <c r="J147" s="12" t="inlineStr">
        <is>
          <t>23_API基本設計書 3.2</t>
        </is>
      </c>
      <c r="K147" s="12" t="inlineStr">
        <is>
          <t>手動</t>
        </is>
      </c>
      <c r="L147" s="12" t="n"/>
      <c r="M147" s="12" t="inlineStr">
        <is>
          <t>OK</t>
        </is>
      </c>
      <c r="N147" s="23" t="n">
        <v>46304</v>
      </c>
      <c r="O147" s="12" t="inlineStr">
        <is>
          <t>佐々木</t>
        </is>
      </c>
      <c r="P147" s="12" t="n"/>
      <c r="Q147" s="15" t="inlineStr">
        <is>
          <t>45_テストエビデンス_API結合.xlsx／AP-122</t>
        </is>
      </c>
      <c r="R147" s="12" t="n"/>
      <c r="S147" s="12" t="n"/>
      <c r="T147" s="12" t="n"/>
    </row>
    <row r="148" ht="40.5" customHeight="1">
      <c r="A148" s="12" t="inlineStr">
        <is>
          <t>IT-AP122-E02</t>
        </is>
      </c>
      <c r="B148" s="12" t="inlineStr">
        <is>
          <t>AP-122 イベント削除 DELETE /api/events/{id}</t>
        </is>
      </c>
      <c r="C148" s="12" t="inlineStr">
        <is>
          <t>異常系</t>
        </is>
      </c>
      <c r="D148" s="12" t="inlineStr">
        <is>
          <t>受付済の申込があるイベントは削除できない</t>
        </is>
      </c>
      <c r="E148" s="12" t="inlineStr">
        <is>
          <t>TD-02に受付済の申込がある</t>
        </is>
      </c>
      <c r="F148" s="12" t="inlineStr">
        <is>
          <t>管理者（ID=2）でTD-02のIDを指定する</t>
        </is>
      </c>
      <c r="G148" s="12" t="inlineStr">
        <is>
          <t>400「申込があるため削除できません」（E-B-013）</t>
        </is>
      </c>
      <c r="H148" s="12" t="inlineStr">
        <is>
          <t>TD-02のevents.deleted_atはNULLのまま</t>
        </is>
      </c>
      <c r="I148" s="12" t="inlineStr">
        <is>
          <t>【操作の前と後に実行し、結果が同じことを確認する】
SELECT * FROM events ORDER BY id;</t>
        </is>
      </c>
      <c r="J148" s="12" t="inlineStr">
        <is>
          <t>R-07</t>
        </is>
      </c>
      <c r="K148" s="12" t="inlineStr">
        <is>
          <t>手動</t>
        </is>
      </c>
      <c r="L148" s="12" t="n"/>
      <c r="M148" s="12" t="inlineStr">
        <is>
          <t>OK</t>
        </is>
      </c>
      <c r="N148" s="23" t="n">
        <v>46304</v>
      </c>
      <c r="O148" s="12" t="inlineStr">
        <is>
          <t>佐々木</t>
        </is>
      </c>
      <c r="P148" s="12" t="n"/>
      <c r="Q148" s="15" t="inlineStr">
        <is>
          <t>45_テストエビデンス_API結合.xlsx／AP-122</t>
        </is>
      </c>
      <c r="R148" s="12" t="n"/>
      <c r="S148" s="12" t="n"/>
      <c r="T148" s="12" t="n"/>
    </row>
    <row r="149" ht="40.5" customHeight="1">
      <c r="A149" s="12" t="inlineStr">
        <is>
          <t>IT-AP122-E03</t>
        </is>
      </c>
      <c r="B149" s="12" t="inlineStr">
        <is>
          <t>AP-122 イベント削除 DELETE /api/events/{id}</t>
        </is>
      </c>
      <c r="C149" s="12" t="inlineStr">
        <is>
          <t>異常系</t>
        </is>
      </c>
      <c r="D149" s="12" t="inlineStr">
        <is>
          <t>存在しないイベントは削除できない</t>
        </is>
      </c>
      <c r="E149" s="12" t="inlineStr">
        <is>
          <t>-</t>
        </is>
      </c>
      <c r="F149" s="12" t="inlineStr">
        <is>
          <t>管理者（ID=2）でDELETE /api/events/99999</t>
        </is>
      </c>
      <c r="G149" s="12" t="inlineStr">
        <is>
          <t>404「イベントが見つかりません」（E-B-001）</t>
        </is>
      </c>
      <c r="H149" s="12" t="inlineStr">
        <is>
          <t>eventsは変更されない</t>
        </is>
      </c>
      <c r="I149" s="12" t="inlineStr">
        <is>
          <t>【操作の前と後に実行し、結果が同じことを確認する】
SELECT * FROM events ORDER BY id;</t>
        </is>
      </c>
      <c r="J149" s="12" t="inlineStr">
        <is>
          <t>AP-122</t>
        </is>
      </c>
      <c r="K149" s="12" t="inlineStr">
        <is>
          <t>手動</t>
        </is>
      </c>
      <c r="L149" s="12" t="n"/>
      <c r="M149" s="12" t="inlineStr">
        <is>
          <t>OK</t>
        </is>
      </c>
      <c r="N149" s="23" t="n">
        <v>46304</v>
      </c>
      <c r="O149" s="12" t="inlineStr">
        <is>
          <t>佐々木</t>
        </is>
      </c>
      <c r="P149" s="12" t="n"/>
      <c r="Q149" s="15" t="inlineStr">
        <is>
          <t>45_テストエビデンス_API結合.xlsx／AP-122</t>
        </is>
      </c>
      <c r="R149" s="12" t="n"/>
      <c r="S149" s="12" t="n"/>
      <c r="T149" s="12" t="n"/>
    </row>
    <row r="150" ht="40.5" customHeight="1">
      <c r="A150" s="12" t="inlineStr">
        <is>
          <t>IT-AP122-E04</t>
        </is>
      </c>
      <c r="B150" s="12" t="inlineStr">
        <is>
          <t>AP-122 イベント削除 DELETE /api/events/{id}</t>
        </is>
      </c>
      <c r="C150" s="12" t="inlineStr">
        <is>
          <t>異常系</t>
        </is>
      </c>
      <c r="D150" s="12" t="inlineStr">
        <is>
          <t>削除済みのイベントは再度削除できない</t>
        </is>
      </c>
      <c r="E150" s="12" t="inlineStr">
        <is>
          <t>削除済みのイベントがある</t>
        </is>
      </c>
      <c r="F150" s="12" t="inlineStr">
        <is>
          <t>管理者（ID=2）で削除済みのイベントのIDを指定する</t>
        </is>
      </c>
      <c r="G150" s="12" t="inlineStr">
        <is>
          <t>404「イベントが見つかりません」（E-B-001）</t>
        </is>
      </c>
      <c r="H150" s="12" t="inlineStr">
        <is>
          <t>対象のevents.deleted_atは変更されない</t>
        </is>
      </c>
      <c r="I150" s="12" t="inlineStr">
        <is>
          <t>【操作の前と後に実行し、結果が同じことを確認する】
SELECT * FROM events ORDER BY id;</t>
        </is>
      </c>
      <c r="J150" s="12" t="inlineStr">
        <is>
          <t>AP-122</t>
        </is>
      </c>
      <c r="K150" s="12" t="inlineStr">
        <is>
          <t>手動</t>
        </is>
      </c>
      <c r="L150" s="12" t="n"/>
      <c r="M150" s="12" t="inlineStr">
        <is>
          <t>OK</t>
        </is>
      </c>
      <c r="N150" s="23" t="n">
        <v>46304</v>
      </c>
      <c r="O150" s="12" t="inlineStr">
        <is>
          <t>佐々木</t>
        </is>
      </c>
      <c r="P150" s="12" t="n"/>
      <c r="Q150" s="15" t="inlineStr">
        <is>
          <t>45_テストエビデンス_API結合.xlsx／AP-122</t>
        </is>
      </c>
      <c r="R150" s="12" t="n"/>
      <c r="S150" s="12" t="n"/>
      <c r="T150" s="12" t="n"/>
    </row>
    <row r="151" ht="40.5" customHeight="1">
      <c r="A151" s="12" t="inlineStr">
        <is>
          <t>IT-AP123-N01</t>
        </is>
      </c>
      <c r="B151" s="12" t="inlineStr">
        <is>
          <t>AP-123 削除済みイベント一覧取得 GET /api/events/deleted</t>
        </is>
      </c>
      <c r="C151" s="12" t="inlineStr">
        <is>
          <t>正常系</t>
        </is>
      </c>
      <c r="D151" s="12" t="inlineStr">
        <is>
          <t>削除済みのイベントだけが返る</t>
        </is>
      </c>
      <c r="E151" s="12" t="inlineStr">
        <is>
          <t>削除済みのイベントと有効なイベントがある</t>
        </is>
      </c>
      <c r="F151" s="12" t="inlineStr">
        <is>
          <t>管理者（ID=2）で呼ぶ</t>
        </is>
      </c>
      <c r="G151" s="12" t="inlineStr">
        <is>
          <t>200。削除済みのイベントだけが返り、deletedAtに日時がある</t>
        </is>
      </c>
      <c r="H151" s="12" t="inlineStr">
        <is>
          <t>-（参照のみ）</t>
        </is>
      </c>
      <c r="I151" s="12" t="inlineStr">
        <is>
          <t>-</t>
        </is>
      </c>
      <c r="J151" s="12" t="inlineStr">
        <is>
          <t>AP-123</t>
        </is>
      </c>
      <c r="K151" s="12" t="inlineStr">
        <is>
          <t>手動</t>
        </is>
      </c>
      <c r="L151" s="12" t="n"/>
      <c r="M151" s="12" t="inlineStr">
        <is>
          <t>OK</t>
        </is>
      </c>
      <c r="N151" s="23" t="n">
        <v>46304</v>
      </c>
      <c r="O151" s="12" t="inlineStr">
        <is>
          <t>佐々木</t>
        </is>
      </c>
      <c r="P151" s="12" t="n"/>
      <c r="Q151" s="15" t="inlineStr">
        <is>
          <t>45_テストエビデンス_API結合.xlsx／AP-123</t>
        </is>
      </c>
      <c r="R151" s="12" t="n"/>
      <c r="S151" s="12" t="n"/>
      <c r="T151" s="12" t="n"/>
    </row>
    <row r="152" ht="40.5" customHeight="1">
      <c r="A152" s="12" t="inlineStr">
        <is>
          <t>IT-AP123-N02</t>
        </is>
      </c>
      <c r="B152" s="12" t="inlineStr">
        <is>
          <t>AP-123 削除済みイベント一覧取得 GET /api/events/deleted</t>
        </is>
      </c>
      <c r="C152" s="12" t="inlineStr">
        <is>
          <t>正常系</t>
        </is>
      </c>
      <c r="D152" s="12" t="inlineStr">
        <is>
          <t>複製に必要な項目が含まれる</t>
        </is>
      </c>
      <c r="E152" s="12" t="inlineStr">
        <is>
          <t>参加区分・アンケート付きの削除済みイベントがある</t>
        </is>
      </c>
      <c r="F152" s="12" t="inlineStr">
        <is>
          <t>管理者（ID=2）で呼ぶ</t>
        </is>
      </c>
      <c r="G152" s="12" t="inlineStr">
        <is>
          <t>対象の要素にdescription・organizerName・imageUrl・extraQuestion・ticketTypesが含まれる</t>
        </is>
      </c>
      <c r="H152" s="12" t="inlineStr">
        <is>
          <t>-（参照のみ）</t>
        </is>
      </c>
      <c r="I152" s="12" t="inlineStr">
        <is>
          <t>-</t>
        </is>
      </c>
      <c r="J152" s="12" t="inlineStr">
        <is>
          <t>AP-123</t>
        </is>
      </c>
      <c r="K152" s="12" t="inlineStr">
        <is>
          <t>手動</t>
        </is>
      </c>
      <c r="L152" s="12" t="n"/>
      <c r="M152" s="12" t="inlineStr">
        <is>
          <t>OK</t>
        </is>
      </c>
      <c r="N152" s="23" t="n">
        <v>46304</v>
      </c>
      <c r="O152" s="12" t="inlineStr">
        <is>
          <t>佐々木</t>
        </is>
      </c>
      <c r="P152" s="12" t="n"/>
      <c r="Q152" s="15" t="inlineStr">
        <is>
          <t>45_テストエビデンス_API結合.xlsx／AP-123</t>
        </is>
      </c>
      <c r="R152" s="12" t="n"/>
      <c r="S152" s="12" t="n"/>
      <c r="T152" s="12" t="n"/>
    </row>
    <row r="153" ht="40.5" customHeight="1">
      <c r="A153" s="12" t="inlineStr">
        <is>
          <t>IT-AP123-E01</t>
        </is>
      </c>
      <c r="B153" s="12" t="inlineStr">
        <is>
          <t>AP-123 削除済みイベント一覧取得 GET /api/events/deleted</t>
        </is>
      </c>
      <c r="C153" s="12" t="inlineStr">
        <is>
          <t>異常系</t>
        </is>
      </c>
      <c r="D153" s="12" t="inlineStr">
        <is>
          <t>一般利用者は実行できない</t>
        </is>
      </c>
      <c r="E153" s="12" t="inlineStr">
        <is>
          <t>-</t>
        </is>
      </c>
      <c r="F153" s="12" t="inlineStr">
        <is>
          <t>一般ユーザー（ID=1）で呼ぶ</t>
        </is>
      </c>
      <c r="G153" s="12" t="inlineStr">
        <is>
          <t>403「権限がありません」（E-A-002）</t>
        </is>
      </c>
      <c r="H153" s="12" t="inlineStr">
        <is>
          <t>-（参照のみ）</t>
        </is>
      </c>
      <c r="I153" s="12" t="inlineStr">
        <is>
          <t>-</t>
        </is>
      </c>
      <c r="J153" s="12" t="inlineStr">
        <is>
          <t>23_API基本設計書 3.2</t>
        </is>
      </c>
      <c r="K153" s="12" t="inlineStr">
        <is>
          <t>手動</t>
        </is>
      </c>
      <c r="L153" s="12" t="n"/>
      <c r="M153" s="12" t="inlineStr">
        <is>
          <t>OK</t>
        </is>
      </c>
      <c r="N153" s="23" t="n">
        <v>46304</v>
      </c>
      <c r="O153" s="12" t="inlineStr">
        <is>
          <t>佐々木</t>
        </is>
      </c>
      <c r="P153" s="12" t="n"/>
      <c r="Q153" s="15" t="inlineStr">
        <is>
          <t>45_テストエビデンス_API結合.xlsx／AP-123</t>
        </is>
      </c>
      <c r="R153" s="12" t="n"/>
      <c r="S153" s="12" t="n"/>
      <c r="T153" s="12" t="n"/>
    </row>
    <row r="154" ht="54" customHeight="1">
      <c r="A154" s="12" t="inlineStr">
        <is>
          <t>IT-AP124-N01</t>
        </is>
      </c>
      <c r="B154" s="12" t="inlineStr">
        <is>
          <t>AP-124 イベント復元 POST /api/events/{id}/restore</t>
        </is>
      </c>
      <c r="C154" s="12" t="inlineStr">
        <is>
          <t>正常系</t>
        </is>
      </c>
      <c r="D154" s="12" t="inlineStr">
        <is>
          <t>削除済みのイベントを復元できる</t>
        </is>
      </c>
      <c r="E154" s="12" t="inlineStr">
        <is>
          <t>削除済みのイベントがある</t>
        </is>
      </c>
      <c r="F154" s="12" t="inlineStr">
        <is>
          <t>管理者（ID=2）でそのイベントのIDを指定する</t>
        </is>
      </c>
      <c r="G154" s="12" t="inlineStr">
        <is>
          <t>200。復元したイベントの詳細が返る</t>
        </is>
      </c>
      <c r="H154" s="12" t="inlineStr">
        <is>
          <t>対象のevents.deleted_atがNULLになる</t>
        </is>
      </c>
      <c r="I154" s="12" t="inlineStr">
        <is>
          <t>【操作の前と後に実行し、期待結果のとおりであることを確認する】
SELECT id, name, start_at, place, capacity, application_deadline, deleted_at, updated_at FROM events ORDER BY id;</t>
        </is>
      </c>
      <c r="J154" s="12" t="inlineStr">
        <is>
          <t>AP-124</t>
        </is>
      </c>
      <c r="K154" s="12" t="inlineStr">
        <is>
          <t>手動</t>
        </is>
      </c>
      <c r="L154" s="12" t="n"/>
      <c r="M154" s="12" t="inlineStr">
        <is>
          <t>OK</t>
        </is>
      </c>
      <c r="N154" s="23" t="n">
        <v>46304</v>
      </c>
      <c r="O154" s="12" t="inlineStr">
        <is>
          <t>佐々木</t>
        </is>
      </c>
      <c r="P154" s="12" t="n"/>
      <c r="Q154" s="15" t="inlineStr">
        <is>
          <t>45_テストエビデンス_API結合.xlsx／AP-124</t>
        </is>
      </c>
      <c r="R154" s="12" t="n"/>
      <c r="S154" s="12" t="n"/>
      <c r="T154" s="12" t="n"/>
    </row>
    <row r="155" ht="54" customHeight="1">
      <c r="A155" s="12" t="inlineStr">
        <is>
          <t>IT-AP124-E01</t>
        </is>
      </c>
      <c r="B155" s="12" t="inlineStr">
        <is>
          <t>AP-124 イベント復元 POST /api/events/{id}/restore</t>
        </is>
      </c>
      <c r="C155" s="12" t="inlineStr">
        <is>
          <t>異常系</t>
        </is>
      </c>
      <c r="D155" s="12" t="inlineStr">
        <is>
          <t>一般利用者は実行できない</t>
        </is>
      </c>
      <c r="E155" s="12" t="inlineStr">
        <is>
          <t>-</t>
        </is>
      </c>
      <c r="F155" s="12" t="inlineStr">
        <is>
          <t>一般ユーザー（ID=1）で呼ぶ</t>
        </is>
      </c>
      <c r="G155" s="12" t="inlineStr">
        <is>
          <t>403「権限がありません」（E-A-002）</t>
        </is>
      </c>
      <c r="H155" s="12" t="inlineStr">
        <is>
          <t>eventsは変更されない</t>
        </is>
      </c>
      <c r="I155" s="12" t="inlineStr">
        <is>
          <t>【操作の前と後に実行し、結果が同じことを確認する】
SELECT * FROM events ORDER BY id;</t>
        </is>
      </c>
      <c r="J155" s="12" t="inlineStr">
        <is>
          <t>23_API基本設計書 3.2</t>
        </is>
      </c>
      <c r="K155" s="12" t="inlineStr">
        <is>
          <t>手動</t>
        </is>
      </c>
      <c r="L155" s="12" t="n"/>
      <c r="M155" s="12" t="inlineStr">
        <is>
          <t>OK</t>
        </is>
      </c>
      <c r="N155" s="23" t="n">
        <v>46304</v>
      </c>
      <c r="O155" s="12" t="inlineStr">
        <is>
          <t>佐々木</t>
        </is>
      </c>
      <c r="P155" s="12" t="n"/>
      <c r="Q155" s="15" t="inlineStr">
        <is>
          <t>45_テストエビデンス_API結合.xlsx／AP-124</t>
        </is>
      </c>
      <c r="R155" s="12" t="n"/>
      <c r="S155" s="12" t="n"/>
      <c r="T155" s="12" t="n"/>
    </row>
    <row r="156" ht="54" customHeight="1">
      <c r="A156" s="12" t="inlineStr">
        <is>
          <t>IT-AP124-E02</t>
        </is>
      </c>
      <c r="B156" s="12" t="inlineStr">
        <is>
          <t>AP-124 イベント復元 POST /api/events/{id}/restore</t>
        </is>
      </c>
      <c r="C156" s="12" t="inlineStr">
        <is>
          <t>異常系</t>
        </is>
      </c>
      <c r="D156" s="12" t="inlineStr">
        <is>
          <t>削除されていないイベントは復元できない</t>
        </is>
      </c>
      <c r="E156" s="12" t="inlineStr">
        <is>
          <t>TD-02</t>
        </is>
      </c>
      <c r="F156" s="12" t="inlineStr">
        <is>
          <t>管理者（ID=2）でTD-02のIDを指定する</t>
        </is>
      </c>
      <c r="G156" s="12" t="inlineStr">
        <is>
          <t>404「削除済みイベントが見つかりません」（E-B-014）</t>
        </is>
      </c>
      <c r="H156" s="12" t="inlineStr">
        <is>
          <t>eventsは変更されない</t>
        </is>
      </c>
      <c r="I156" s="12" t="inlineStr">
        <is>
          <t>【操作の前と後に実行し、結果が同じことを確認する】
SELECT * FROM events ORDER BY id;</t>
        </is>
      </c>
      <c r="J156" s="12" t="inlineStr">
        <is>
          <t>R-08</t>
        </is>
      </c>
      <c r="K156" s="12" t="inlineStr">
        <is>
          <t>手動</t>
        </is>
      </c>
      <c r="L156" s="12" t="n"/>
      <c r="M156" s="12" t="inlineStr">
        <is>
          <t>OK</t>
        </is>
      </c>
      <c r="N156" s="23" t="n">
        <v>46304</v>
      </c>
      <c r="O156" s="12" t="inlineStr">
        <is>
          <t>佐々木</t>
        </is>
      </c>
      <c r="P156" s="12" t="n"/>
      <c r="Q156" s="15" t="inlineStr">
        <is>
          <t>45_テストエビデンス_API結合.xlsx／AP-124</t>
        </is>
      </c>
      <c r="R156" s="12" t="n"/>
      <c r="S156" s="12" t="n"/>
      <c r="T156" s="12" t="n"/>
    </row>
    <row r="157" ht="54" customHeight="1">
      <c r="A157" s="12" t="inlineStr">
        <is>
          <t>IT-AP124-E03</t>
        </is>
      </c>
      <c r="B157" s="12" t="inlineStr">
        <is>
          <t>AP-124 イベント復元 POST /api/events/{id}/restore</t>
        </is>
      </c>
      <c r="C157" s="12" t="inlineStr">
        <is>
          <t>異常系</t>
        </is>
      </c>
      <c r="D157" s="12" t="inlineStr">
        <is>
          <t>存在しないイベントは復元できない</t>
        </is>
      </c>
      <c r="E157" s="12" t="inlineStr">
        <is>
          <t>-</t>
        </is>
      </c>
      <c r="F157" s="12" t="inlineStr">
        <is>
          <t>管理者（ID=2）でPOST /api/events/99999/restore</t>
        </is>
      </c>
      <c r="G157" s="12" t="inlineStr">
        <is>
          <t>404「削除済みイベントが見つかりません」（E-B-014）</t>
        </is>
      </c>
      <c r="H157" s="12" t="inlineStr">
        <is>
          <t>eventsは変更されない</t>
        </is>
      </c>
      <c r="I157" s="12" t="inlineStr">
        <is>
          <t>【操作の前と後に実行し、結果が同じことを確認する】
SELECT * FROM events ORDER BY id;</t>
        </is>
      </c>
      <c r="J157" s="12" t="inlineStr">
        <is>
          <t>R-08</t>
        </is>
      </c>
      <c r="K157" s="12" t="inlineStr">
        <is>
          <t>手動</t>
        </is>
      </c>
      <c r="L157" s="12" t="n"/>
      <c r="M157" s="12" t="inlineStr">
        <is>
          <t>OK</t>
        </is>
      </c>
      <c r="N157" s="23" t="n">
        <v>46304</v>
      </c>
      <c r="O157" s="12" t="inlineStr">
        <is>
          <t>佐々木</t>
        </is>
      </c>
      <c r="P157" s="12" t="n"/>
      <c r="Q157" s="15" t="inlineStr">
        <is>
          <t>45_テストエビデンス_API結合.xlsx／AP-124</t>
        </is>
      </c>
      <c r="R157" s="12" t="n"/>
      <c r="S157" s="12" t="n"/>
      <c r="T157" s="12" t="n"/>
    </row>
    <row r="158" ht="54" customHeight="1">
      <c r="A158" s="12" t="inlineStr">
        <is>
          <t>IT-AP125-N01</t>
        </is>
      </c>
      <c r="B158" s="12" t="inlineStr">
        <is>
          <t>AP-125 申込者一覧取得（当日受付用） GET /api/events/{id}/attendees</t>
        </is>
      </c>
      <c r="C158" s="12" t="inlineStr">
        <is>
          <t>正常系</t>
        </is>
      </c>
      <c r="D158" s="12" t="inlineStr">
        <is>
          <t>全ての申込状況の申込が申込日時の昇順で返る</t>
        </is>
      </c>
      <c r="E158" s="12" t="inlineStr">
        <is>
          <t>TD-02に受付済・キャンセル待ち・キャンセル済の申込がある</t>
        </is>
      </c>
      <c r="F158" s="12" t="inlineStr">
        <is>
          <t>管理者（ID=2）でTD-02のIDを指定する</t>
        </is>
      </c>
      <c r="G158" s="12" t="inlineStr">
        <is>
          <t>200。3件がapplied_atの昇順で返り、各要素にstatusCode・statusNameがある</t>
        </is>
      </c>
      <c r="H158" s="12" t="inlineStr">
        <is>
          <t>-（参照のみ）</t>
        </is>
      </c>
      <c r="I158" s="12" t="inlineStr">
        <is>
          <t>-</t>
        </is>
      </c>
      <c r="J158" s="12" t="inlineStr">
        <is>
          <t>AP-125</t>
        </is>
      </c>
      <c r="K158" s="12" t="inlineStr">
        <is>
          <t>手動</t>
        </is>
      </c>
      <c r="L158" s="12" t="n"/>
      <c r="M158" s="12" t="inlineStr">
        <is>
          <t>OK</t>
        </is>
      </c>
      <c r="N158" s="23" t="n">
        <v>46304</v>
      </c>
      <c r="O158" s="12" t="inlineStr">
        <is>
          <t>佐々木</t>
        </is>
      </c>
      <c r="P158" s="12" t="n"/>
      <c r="Q158" s="15" t="inlineStr">
        <is>
          <t>45_テストエビデンス_API結合.xlsx／AP-125</t>
        </is>
      </c>
      <c r="R158" s="12" t="n"/>
      <c r="S158" s="12" t="n"/>
      <c r="T158" s="12" t="n"/>
    </row>
    <row r="159" ht="54" customHeight="1">
      <c r="A159" s="12" t="inlineStr">
        <is>
          <t>IT-AP125-N02</t>
        </is>
      </c>
      <c r="B159" s="12" t="inlineStr">
        <is>
          <t>AP-125 申込者一覧取得（当日受付用） GET /api/events/{id}/attendees</t>
        </is>
      </c>
      <c r="C159" s="12" t="inlineStr">
        <is>
          <t>正常系</t>
        </is>
      </c>
      <c r="D159" s="12" t="inlineStr">
        <is>
          <t>アンケート回答と区分名が返る</t>
        </is>
      </c>
      <c r="E159" s="12" t="inlineStr">
        <is>
          <t>TD-01の区分「一般」にアンケート回答付きの申込がある</t>
        </is>
      </c>
      <c r="F159" s="12" t="inlineStr">
        <is>
          <t>管理者（ID=2）でTD-01のIDを指定する</t>
        </is>
      </c>
      <c r="G159" s="12" t="inlineStr">
        <is>
          <t>対象の要素のticketTypeName=「一般」、extraAnswer=入力した回答</t>
        </is>
      </c>
      <c r="H159" s="12" t="inlineStr">
        <is>
          <t>-（参照のみ）</t>
        </is>
      </c>
      <c r="I159" s="12" t="inlineStr">
        <is>
          <t>-</t>
        </is>
      </c>
      <c r="J159" s="12" t="inlineStr">
        <is>
          <t>AP-125</t>
        </is>
      </c>
      <c r="K159" s="12" t="inlineStr">
        <is>
          <t>手動</t>
        </is>
      </c>
      <c r="L159" s="12" t="n"/>
      <c r="M159" s="12" t="inlineStr">
        <is>
          <t>OK</t>
        </is>
      </c>
      <c r="N159" s="23" t="n">
        <v>46304</v>
      </c>
      <c r="O159" s="12" t="inlineStr">
        <is>
          <t>佐々木</t>
        </is>
      </c>
      <c r="P159" s="12" t="n"/>
      <c r="Q159" s="15" t="inlineStr">
        <is>
          <t>45_テストエビデンス_API結合.xlsx／AP-125</t>
        </is>
      </c>
      <c r="R159" s="12" t="n"/>
      <c r="S159" s="12" t="n"/>
      <c r="T159" s="12" t="n"/>
    </row>
    <row r="160" ht="54" customHeight="1">
      <c r="A160" s="12" t="inlineStr">
        <is>
          <t>IT-AP125-N03</t>
        </is>
      </c>
      <c r="B160" s="12" t="inlineStr">
        <is>
          <t>AP-125 申込者一覧取得（当日受付用） GET /api/events/{id}/attendees</t>
        </is>
      </c>
      <c r="C160" s="12" t="inlineStr">
        <is>
          <t>正常系</t>
        </is>
      </c>
      <c r="D160" s="12" t="inlineStr">
        <is>
          <t>参加区分の無いイベントは区分名がnullで返る</t>
        </is>
      </c>
      <c r="E160" s="12" t="inlineStr">
        <is>
          <t>TD-02に申込がある</t>
        </is>
      </c>
      <c r="F160" s="12" t="inlineStr">
        <is>
          <t>管理者（ID=2）でTD-02のIDを指定する</t>
        </is>
      </c>
      <c r="G160" s="12" t="inlineStr">
        <is>
          <t>対象の要素のticketTypeName=null</t>
        </is>
      </c>
      <c r="H160" s="12" t="inlineStr">
        <is>
          <t>-（参照のみ）</t>
        </is>
      </c>
      <c r="I160" s="12" t="inlineStr">
        <is>
          <t>-</t>
        </is>
      </c>
      <c r="J160" s="12" t="inlineStr">
        <is>
          <t>AP-125</t>
        </is>
      </c>
      <c r="K160" s="12" t="inlineStr">
        <is>
          <t>手動</t>
        </is>
      </c>
      <c r="L160" s="12" t="n"/>
      <c r="M160" s="12" t="inlineStr">
        <is>
          <t>OK</t>
        </is>
      </c>
      <c r="N160" s="23" t="n">
        <v>46304</v>
      </c>
      <c r="O160" s="12" t="inlineStr">
        <is>
          <t>佐々木</t>
        </is>
      </c>
      <c r="P160" s="12" t="n"/>
      <c r="Q160" s="15" t="inlineStr">
        <is>
          <t>45_テストエビデンス_API結合.xlsx／AP-125</t>
        </is>
      </c>
      <c r="R160" s="12" t="n"/>
      <c r="S160" s="12" t="n"/>
      <c r="T160" s="12" t="n"/>
    </row>
    <row r="161" ht="54" customHeight="1">
      <c r="A161" s="12" t="inlineStr">
        <is>
          <t>IT-AP125-E01</t>
        </is>
      </c>
      <c r="B161" s="12" t="inlineStr">
        <is>
          <t>AP-125 申込者一覧取得（当日受付用） GET /api/events/{id}/attendees</t>
        </is>
      </c>
      <c r="C161" s="12" t="inlineStr">
        <is>
          <t>異常系</t>
        </is>
      </c>
      <c r="D161" s="12" t="inlineStr">
        <is>
          <t>一般利用者は実行できない</t>
        </is>
      </c>
      <c r="E161" s="12" t="inlineStr">
        <is>
          <t>-</t>
        </is>
      </c>
      <c r="F161" s="12" t="inlineStr">
        <is>
          <t>一般ユーザー（ID=1）で呼ぶ</t>
        </is>
      </c>
      <c r="G161" s="12" t="inlineStr">
        <is>
          <t>403「権限がありません」（E-A-002）</t>
        </is>
      </c>
      <c r="H161" s="12" t="inlineStr">
        <is>
          <t>-（参照のみ）</t>
        </is>
      </c>
      <c r="I161" s="12" t="inlineStr">
        <is>
          <t>-</t>
        </is>
      </c>
      <c r="J161" s="12" t="inlineStr">
        <is>
          <t>23_API基本設計書 3.2</t>
        </is>
      </c>
      <c r="K161" s="12" t="inlineStr">
        <is>
          <t>手動</t>
        </is>
      </c>
      <c r="L161" s="12" t="n"/>
      <c r="M161" s="12" t="inlineStr">
        <is>
          <t>OK</t>
        </is>
      </c>
      <c r="N161" s="23" t="n">
        <v>46304</v>
      </c>
      <c r="O161" s="12" t="inlineStr">
        <is>
          <t>佐々木</t>
        </is>
      </c>
      <c r="P161" s="12" t="n"/>
      <c r="Q161" s="15" t="inlineStr">
        <is>
          <t>45_テストエビデンス_API結合.xlsx／AP-125</t>
        </is>
      </c>
      <c r="R161" s="12" t="n"/>
      <c r="S161" s="12" t="n"/>
      <c r="T161" s="12" t="n"/>
    </row>
    <row r="162" ht="54" customHeight="1">
      <c r="A162" s="12" t="inlineStr">
        <is>
          <t>IT-AP125-E02</t>
        </is>
      </c>
      <c r="B162" s="12" t="inlineStr">
        <is>
          <t>AP-125 申込者一覧取得（当日受付用） GET /api/events/{id}/attendees</t>
        </is>
      </c>
      <c r="C162" s="12" t="inlineStr">
        <is>
          <t>異常系</t>
        </is>
      </c>
      <c r="D162" s="12" t="inlineStr">
        <is>
          <t>存在しないイベントの申込者一覧は取得できない</t>
        </is>
      </c>
      <c r="E162" s="12" t="inlineStr">
        <is>
          <t>-</t>
        </is>
      </c>
      <c r="F162" s="12" t="inlineStr">
        <is>
          <t>管理者（ID=2）でGET /api/events/99999/attendees</t>
        </is>
      </c>
      <c r="G162" s="12" t="inlineStr">
        <is>
          <t>404「イベントが見つかりません」（E-B-001）</t>
        </is>
      </c>
      <c r="H162" s="12" t="inlineStr">
        <is>
          <t>-（参照のみ）</t>
        </is>
      </c>
      <c r="I162" s="12" t="inlineStr">
        <is>
          <t>-</t>
        </is>
      </c>
      <c r="J162" s="12" t="inlineStr">
        <is>
          <t>AP-125</t>
        </is>
      </c>
      <c r="K162" s="12" t="inlineStr">
        <is>
          <t>手動</t>
        </is>
      </c>
      <c r="L162" s="12" t="n"/>
      <c r="M162" s="12" t="inlineStr">
        <is>
          <t>OK</t>
        </is>
      </c>
      <c r="N162" s="23" t="n">
        <v>46304</v>
      </c>
      <c r="O162" s="12" t="inlineStr">
        <is>
          <t>佐々木</t>
        </is>
      </c>
      <c r="P162" s="12" t="n"/>
      <c r="Q162" s="15" t="inlineStr">
        <is>
          <t>45_テストエビデンス_API結合.xlsx／AP-125</t>
        </is>
      </c>
      <c r="R162" s="12" t="n"/>
      <c r="S162" s="12" t="n"/>
      <c r="T162" s="12" t="n"/>
    </row>
    <row r="163" ht="40.5" customHeight="1">
      <c r="A163" s="12" t="inlineStr">
        <is>
          <t>IT-AP126-N01</t>
        </is>
      </c>
      <c r="B163" s="12" t="inlineStr">
        <is>
          <t>AP-126 チェックイン PUT /api/applications/{id}/check-in</t>
        </is>
      </c>
      <c r="C163" s="12" t="inlineStr">
        <is>
          <t>正常系</t>
        </is>
      </c>
      <c r="D163" s="12" t="inlineStr">
        <is>
          <t>受付済の申込をチェックインできる</t>
        </is>
      </c>
      <c r="E163" s="12" t="inlineStr">
        <is>
          <t>TD-02に受付済の申込（未チェックイン）がある</t>
        </is>
      </c>
      <c r="F163" s="12" t="inlineStr">
        <is>
          <t>管理者（ID=2）でその申込のIDを指定する</t>
        </is>
      </c>
      <c r="G163" s="12" t="inlineStr">
        <is>
          <t>200、checkedInAtに日時</t>
        </is>
      </c>
      <c r="H163" s="12" t="inlineStr">
        <is>
          <t>対象のapplications.checked_in_atに日時が入る。status_codeは1のまま</t>
        </is>
      </c>
      <c r="I163" s="12" t="inlineStr">
        <is>
          <t>【操作の前と後に実行し、期待結果のとおりであることを確認する】
SELECT id, event_id, user_id, ticket_type_id, status_code, extra_answer, checked_in_at, updated_at FROM applications ORDER BY id;</t>
        </is>
      </c>
      <c r="J163" s="12" t="inlineStr">
        <is>
          <t>R-06</t>
        </is>
      </c>
      <c r="K163" s="12" t="inlineStr">
        <is>
          <t>手動</t>
        </is>
      </c>
      <c r="L163" s="12" t="n"/>
      <c r="M163" s="12" t="inlineStr">
        <is>
          <t>OK</t>
        </is>
      </c>
      <c r="N163" s="23" t="n">
        <v>46304</v>
      </c>
      <c r="O163" s="12" t="inlineStr">
        <is>
          <t>佐々木</t>
        </is>
      </c>
      <c r="P163" s="12" t="n"/>
      <c r="Q163" s="15" t="inlineStr">
        <is>
          <t>45_テストエビデンス_API結合.xlsx／AP-126</t>
        </is>
      </c>
      <c r="R163" s="12" t="n"/>
      <c r="S163" s="12" t="n"/>
      <c r="T163" s="12" t="n"/>
    </row>
    <row r="164" ht="40.5" customHeight="1">
      <c r="A164" s="12" t="inlineStr">
        <is>
          <t>IT-AP126-N02</t>
        </is>
      </c>
      <c r="B164" s="12" t="inlineStr">
        <is>
          <t>AP-126 チェックイン PUT /api/applications/{id}/check-in</t>
        </is>
      </c>
      <c r="C164" s="12" t="inlineStr">
        <is>
          <t>正常系</t>
        </is>
      </c>
      <c r="D164" s="12" t="inlineStr">
        <is>
          <t>チェックイン済みの申込に再度実行すると日時が更新される</t>
        </is>
      </c>
      <c r="E164" s="12" t="inlineStr">
        <is>
          <t>TD-02にチェックイン済みの申込がある</t>
        </is>
      </c>
      <c r="F164" s="12" t="inlineStr">
        <is>
          <t>管理者（ID=2）でその申込のIDを指定する</t>
        </is>
      </c>
      <c r="G164" s="12" t="inlineStr">
        <is>
          <t>200、checkedInAtが前回より新しい日時</t>
        </is>
      </c>
      <c r="H164" s="12" t="inlineStr">
        <is>
          <t>対象のapplications.checked_in_atが新しい日時に更新される</t>
        </is>
      </c>
      <c r="I164" s="12" t="inlineStr">
        <is>
          <t>【操作の前と後に実行し、期待結果のとおりであることを確認する】
SELECT id, event_id, user_id, ticket_type_id, status_code, extra_answer, checked_in_at, updated_at FROM applications ORDER BY id;</t>
        </is>
      </c>
      <c r="J164" s="12" t="inlineStr">
        <is>
          <t>10_要件定義書 7章「チェックインの記録」</t>
        </is>
      </c>
      <c r="K164" s="12" t="inlineStr">
        <is>
          <t>手動</t>
        </is>
      </c>
      <c r="L164" s="12" t="n"/>
      <c r="M164" s="12" t="inlineStr">
        <is>
          <t>OK</t>
        </is>
      </c>
      <c r="N164" s="23" t="n">
        <v>46304</v>
      </c>
      <c r="O164" s="12" t="inlineStr">
        <is>
          <t>佐々木</t>
        </is>
      </c>
      <c r="P164" s="12" t="n"/>
      <c r="Q164" s="15" t="inlineStr">
        <is>
          <t>45_テストエビデンス_API結合.xlsx／AP-126</t>
        </is>
      </c>
      <c r="R164" s="12" t="n"/>
      <c r="S164" s="12" t="n"/>
      <c r="T164" s="12" t="n"/>
    </row>
    <row r="165" ht="40.5" customHeight="1">
      <c r="A165" s="12" t="inlineStr">
        <is>
          <t>IT-AP126-E01</t>
        </is>
      </c>
      <c r="B165" s="12" t="inlineStr">
        <is>
          <t>AP-126 チェックイン PUT /api/applications/{id}/check-in</t>
        </is>
      </c>
      <c r="C165" s="12" t="inlineStr">
        <is>
          <t>異常系</t>
        </is>
      </c>
      <c r="D165" s="12" t="inlineStr">
        <is>
          <t>一般利用者は実行できない</t>
        </is>
      </c>
      <c r="E165" s="12" t="inlineStr">
        <is>
          <t>-</t>
        </is>
      </c>
      <c r="F165" s="12" t="inlineStr">
        <is>
          <t>一般ユーザー（ID=1）で呼ぶ</t>
        </is>
      </c>
      <c r="G165" s="12" t="inlineStr">
        <is>
          <t>403「権限がありません」（E-A-002）</t>
        </is>
      </c>
      <c r="H165" s="12" t="inlineStr">
        <is>
          <t>applicationsは変更されない</t>
        </is>
      </c>
      <c r="I165" s="12" t="inlineStr">
        <is>
          <t>【操作の前と後に実行し、結果が同じことを確認する】
SELECT * FROM applications ORDER BY id;</t>
        </is>
      </c>
      <c r="J165" s="12" t="inlineStr">
        <is>
          <t>23_API基本設計書 3.2</t>
        </is>
      </c>
      <c r="K165" s="12" t="inlineStr">
        <is>
          <t>手動</t>
        </is>
      </c>
      <c r="L165" s="12" t="n"/>
      <c r="M165" s="12" t="inlineStr">
        <is>
          <t>OK</t>
        </is>
      </c>
      <c r="N165" s="23" t="n">
        <v>46304</v>
      </c>
      <c r="O165" s="12" t="inlineStr">
        <is>
          <t>佐々木</t>
        </is>
      </c>
      <c r="P165" s="12" t="n"/>
      <c r="Q165" s="15" t="inlineStr">
        <is>
          <t>45_テストエビデンス_API結合.xlsx／AP-126</t>
        </is>
      </c>
      <c r="R165" s="12" t="n"/>
      <c r="S165" s="12" t="n"/>
      <c r="T165" s="12" t="n"/>
    </row>
    <row r="166" ht="40.5" customHeight="1">
      <c r="A166" s="12" t="inlineStr">
        <is>
          <t>IT-AP126-E02</t>
        </is>
      </c>
      <c r="B166" s="12" t="inlineStr">
        <is>
          <t>AP-126 チェックイン PUT /api/applications/{id}/check-in</t>
        </is>
      </c>
      <c r="C166" s="12" t="inlineStr">
        <is>
          <t>異常系</t>
        </is>
      </c>
      <c r="D166" s="12" t="inlineStr">
        <is>
          <t>キャンセル待ちの申込はチェックインできない</t>
        </is>
      </c>
      <c r="E166" s="12" t="inlineStr">
        <is>
          <t>TD-02にキャンセル待ちの申込がある</t>
        </is>
      </c>
      <c r="F166" s="12" t="inlineStr">
        <is>
          <t>管理者（ID=2）でその申込のIDを指定する</t>
        </is>
      </c>
      <c r="G166" s="12" t="inlineStr">
        <is>
          <t>400「受付済の申込のみチェックインできます」（E-B-012）</t>
        </is>
      </c>
      <c r="H166" s="12" t="inlineStr">
        <is>
          <t>対象のapplications.checked_in_atはNULLのまま</t>
        </is>
      </c>
      <c r="I166" s="12" t="inlineStr">
        <is>
          <t>【操作の前と後に実行し、結果が同じことを確認する】
SELECT * FROM applications ORDER BY id;</t>
        </is>
      </c>
      <c r="J166" s="12" t="inlineStr">
        <is>
          <t>R-06</t>
        </is>
      </c>
      <c r="K166" s="12" t="inlineStr">
        <is>
          <t>手動</t>
        </is>
      </c>
      <c r="L166" s="12" t="n"/>
      <c r="M166" s="12" t="inlineStr">
        <is>
          <t>OK</t>
        </is>
      </c>
      <c r="N166" s="23" t="n">
        <v>46304</v>
      </c>
      <c r="O166" s="12" t="inlineStr">
        <is>
          <t>佐々木</t>
        </is>
      </c>
      <c r="P166" s="12" t="n"/>
      <c r="Q166" s="15" t="inlineStr">
        <is>
          <t>45_テストエビデンス_API結合.xlsx／AP-126</t>
        </is>
      </c>
      <c r="R166" s="12" t="n"/>
      <c r="S166" s="12" t="n"/>
      <c r="T166" s="12" t="n"/>
    </row>
    <row r="167" ht="40.5" customHeight="1">
      <c r="A167" s="12" t="inlineStr">
        <is>
          <t>IT-AP126-E03</t>
        </is>
      </c>
      <c r="B167" s="12" t="inlineStr">
        <is>
          <t>AP-126 チェックイン PUT /api/applications/{id}/check-in</t>
        </is>
      </c>
      <c r="C167" s="12" t="inlineStr">
        <is>
          <t>異常系</t>
        </is>
      </c>
      <c r="D167" s="12" t="inlineStr">
        <is>
          <t>キャンセル済の申込はチェックインできない</t>
        </is>
      </c>
      <c r="E167" s="12" t="inlineStr">
        <is>
          <t>キャンセル済の申込がある</t>
        </is>
      </c>
      <c r="F167" s="12" t="inlineStr">
        <is>
          <t>管理者（ID=2）でその申込のIDを指定する</t>
        </is>
      </c>
      <c r="G167" s="12" t="inlineStr">
        <is>
          <t>400「受付済の申込のみチェックインできます」（E-B-012）</t>
        </is>
      </c>
      <c r="H167" s="12" t="inlineStr">
        <is>
          <t>対象のapplications.checked_in_atはNULLのまま</t>
        </is>
      </c>
      <c r="I167" s="12" t="inlineStr">
        <is>
          <t>【操作の前と後に実行し、結果が同じことを確認する】
SELECT * FROM applications ORDER BY id;</t>
        </is>
      </c>
      <c r="J167" s="12" t="inlineStr">
        <is>
          <t>R-06</t>
        </is>
      </c>
      <c r="K167" s="12" t="inlineStr">
        <is>
          <t>手動</t>
        </is>
      </c>
      <c r="L167" s="12" t="n"/>
      <c r="M167" s="12" t="inlineStr">
        <is>
          <t>OK</t>
        </is>
      </c>
      <c r="N167" s="23" t="n">
        <v>46304</v>
      </c>
      <c r="O167" s="12" t="inlineStr">
        <is>
          <t>佐々木</t>
        </is>
      </c>
      <c r="P167" s="12" t="n"/>
      <c r="Q167" s="15" t="inlineStr">
        <is>
          <t>45_テストエビデンス_API結合.xlsx／AP-126</t>
        </is>
      </c>
      <c r="R167" s="12" t="n"/>
      <c r="S167" s="12" t="n"/>
      <c r="T167" s="12" t="n"/>
    </row>
    <row r="168" ht="40.5" customHeight="1">
      <c r="A168" s="12" t="inlineStr">
        <is>
          <t>IT-AP126-E04</t>
        </is>
      </c>
      <c r="B168" s="12" t="inlineStr">
        <is>
          <t>AP-126 チェックイン PUT /api/applications/{id}/check-in</t>
        </is>
      </c>
      <c r="C168" s="12" t="inlineStr">
        <is>
          <t>異常系</t>
        </is>
      </c>
      <c r="D168" s="12" t="inlineStr">
        <is>
          <t>存在しない申込はチェックインできない</t>
        </is>
      </c>
      <c r="E168" s="12" t="inlineStr">
        <is>
          <t>-</t>
        </is>
      </c>
      <c r="F168" s="12" t="inlineStr">
        <is>
          <t>管理者（ID=2）でPUT /api/applications/99999/check-in</t>
        </is>
      </c>
      <c r="G168" s="12" t="inlineStr">
        <is>
          <t>404「申込が見つかりません」（E-B-009）</t>
        </is>
      </c>
      <c r="H168" s="12" t="inlineStr">
        <is>
          <t>applicationsは変更されない</t>
        </is>
      </c>
      <c r="I168" s="12" t="inlineStr">
        <is>
          <t>【操作の前と後に実行し、結果が同じことを確認する】
SELECT * FROM applications ORDER BY id;</t>
        </is>
      </c>
      <c r="J168" s="12" t="inlineStr">
        <is>
          <t>AP-126</t>
        </is>
      </c>
      <c r="K168" s="12" t="inlineStr">
        <is>
          <t>手動</t>
        </is>
      </c>
      <c r="L168" s="12" t="n"/>
      <c r="M168" s="12" t="inlineStr">
        <is>
          <t>OK</t>
        </is>
      </c>
      <c r="N168" s="23" t="n">
        <v>46304</v>
      </c>
      <c r="O168" s="12" t="inlineStr">
        <is>
          <t>佐々木</t>
        </is>
      </c>
      <c r="P168" s="12" t="n"/>
      <c r="Q168" s="15" t="inlineStr">
        <is>
          <t>45_テストエビデンス_API結合.xlsx／AP-126</t>
        </is>
      </c>
      <c r="R168" s="12" t="n"/>
      <c r="S168" s="12" t="n"/>
      <c r="T168" s="12" t="n"/>
    </row>
    <row r="169" ht="54" customHeight="1">
      <c r="A169" s="12" t="inlineStr">
        <is>
          <t>IT-AP130-N01</t>
        </is>
      </c>
      <c r="B169" s="12" t="inlineStr">
        <is>
          <t>AP-130 申込実績取得（一覧・CSV） GET /api/reports/applications</t>
        </is>
      </c>
      <c r="C169" s="12" t="inlineStr">
        <is>
          <t>正常系</t>
        </is>
      </c>
      <c r="D169" s="12" t="inlineStr">
        <is>
          <t>イベントごとの集計が返る</t>
        </is>
      </c>
      <c r="E169" s="12" t="inlineStr">
        <is>
          <t>TD-02（定員1）に受付済の申込が1件ある</t>
        </is>
      </c>
      <c r="F169" s="12" t="inlineStr">
        <is>
          <t>管理者（ID=2）で?format=json</t>
        </is>
      </c>
      <c r="G169" s="12" t="inlineStr">
        <is>
          <t>200。TD-02の要素のacceptedCount=1、fillRate=1.0</t>
        </is>
      </c>
      <c r="H169" s="12" t="inlineStr">
        <is>
          <t>-（参照のみ）</t>
        </is>
      </c>
      <c r="I169" s="12" t="inlineStr">
        <is>
          <t>-</t>
        </is>
      </c>
      <c r="J169" s="12" t="inlineStr">
        <is>
          <t>AP-130</t>
        </is>
      </c>
      <c r="K169" s="12" t="inlineStr">
        <is>
          <t>手動</t>
        </is>
      </c>
      <c r="L169" s="12" t="n"/>
      <c r="M169" s="12" t="inlineStr">
        <is>
          <t>OK</t>
        </is>
      </c>
      <c r="N169" s="23" t="n">
        <v>46304</v>
      </c>
      <c r="O169" s="12" t="inlineStr">
        <is>
          <t>佐々木</t>
        </is>
      </c>
      <c r="P169" s="12" t="n"/>
      <c r="Q169" s="15" t="inlineStr">
        <is>
          <t>45_テストエビデンス_API結合.xlsx／AP-130</t>
        </is>
      </c>
      <c r="R169" s="12" t="n"/>
      <c r="S169" s="12" t="n"/>
      <c r="T169" s="12" t="n"/>
    </row>
    <row r="170" ht="54" customHeight="1">
      <c r="A170" s="12" t="inlineStr">
        <is>
          <t>IT-AP130-N02</t>
        </is>
      </c>
      <c r="B170" s="12" t="inlineStr">
        <is>
          <t>AP-130 申込実績取得（一覧・CSV） GET /api/reports/applications</t>
        </is>
      </c>
      <c r="C170" s="12" t="inlineStr">
        <is>
          <t>正常系</t>
        </is>
      </c>
      <c r="D170" s="12" t="inlineStr">
        <is>
          <t>削除済みのイベントは集計に含まれない</t>
        </is>
      </c>
      <c r="E170" s="12" t="inlineStr">
        <is>
          <t>削除済みのイベントがある</t>
        </is>
      </c>
      <c r="F170" s="12" t="inlineStr">
        <is>
          <t>管理者（ID=2）で?format=json</t>
        </is>
      </c>
      <c r="G170" s="12" t="inlineStr">
        <is>
          <t>200。削除済みのイベントは含まれない</t>
        </is>
      </c>
      <c r="H170" s="12" t="inlineStr">
        <is>
          <t>-（参照のみ）</t>
        </is>
      </c>
      <c r="I170" s="12" t="inlineStr">
        <is>
          <t>-</t>
        </is>
      </c>
      <c r="J170" s="12" t="inlineStr">
        <is>
          <t>10_要件定義書 7章「申込実績の集計対象」</t>
        </is>
      </c>
      <c r="K170" s="12" t="inlineStr">
        <is>
          <t>手動</t>
        </is>
      </c>
      <c r="L170" s="12" t="n"/>
      <c r="M170" s="12" t="inlineStr">
        <is>
          <t>OK</t>
        </is>
      </c>
      <c r="N170" s="23" t="n">
        <v>46304</v>
      </c>
      <c r="O170" s="12" t="inlineStr">
        <is>
          <t>佐々木</t>
        </is>
      </c>
      <c r="P170" s="12" t="n"/>
      <c r="Q170" s="15" t="inlineStr">
        <is>
          <t>45_テストエビデンス_API結合.xlsx／AP-130</t>
        </is>
      </c>
      <c r="R170" s="12" t="n"/>
      <c r="S170" s="12" t="n"/>
      <c r="T170" s="12" t="n"/>
    </row>
    <row r="171" ht="54" customHeight="1">
      <c r="A171" s="12" t="inlineStr">
        <is>
          <t>IT-AP130-N03</t>
        </is>
      </c>
      <c r="B171" s="12" t="inlineStr">
        <is>
          <t>AP-130 申込実績取得（一覧・CSV） GET /api/reports/applications</t>
        </is>
      </c>
      <c r="C171" s="12" t="inlineStr">
        <is>
          <t>正常系</t>
        </is>
      </c>
      <c r="D171" s="12" t="inlineStr">
        <is>
          <t>受付済の件数の多い順に並べ替えられる</t>
        </is>
      </c>
      <c r="E171" s="12" t="inlineStr">
        <is>
          <t>受付済の件数が異なる複数のイベントがある</t>
        </is>
      </c>
      <c r="F171" s="12" t="inlineStr">
        <is>
          <t>管理者（ID=2）で?format=json&amp;sort=accepted_desc</t>
        </is>
      </c>
      <c r="G171" s="12" t="inlineStr">
        <is>
          <t>200。acceptedCountの降順で返る</t>
        </is>
      </c>
      <c r="H171" s="12" t="inlineStr">
        <is>
          <t>-（参照のみ）</t>
        </is>
      </c>
      <c r="I171" s="12" t="inlineStr">
        <is>
          <t>-</t>
        </is>
      </c>
      <c r="J171" s="12" t="inlineStr">
        <is>
          <t>AP-130</t>
        </is>
      </c>
      <c r="K171" s="12" t="inlineStr">
        <is>
          <t>手動</t>
        </is>
      </c>
      <c r="L171" s="12" t="n"/>
      <c r="M171" s="12" t="inlineStr">
        <is>
          <t>OK</t>
        </is>
      </c>
      <c r="N171" s="23" t="n">
        <v>46304</v>
      </c>
      <c r="O171" s="12" t="inlineStr">
        <is>
          <t>佐々木</t>
        </is>
      </c>
      <c r="P171" s="12" t="n"/>
      <c r="Q171" s="15" t="inlineStr">
        <is>
          <t>45_テストエビデンス_API結合.xlsx／AP-130</t>
        </is>
      </c>
      <c r="R171" s="12" t="n"/>
      <c r="S171" s="12" t="n"/>
      <c r="T171" s="12" t="n"/>
    </row>
    <row r="172" ht="54" customHeight="1">
      <c r="A172" s="12" t="inlineStr">
        <is>
          <t>IT-AP130-N04</t>
        </is>
      </c>
      <c r="B172" s="12" t="inlineStr">
        <is>
          <t>AP-130 申込実績取得（一覧・CSV） GET /api/reports/applications</t>
        </is>
      </c>
      <c r="C172" s="12" t="inlineStr">
        <is>
          <t>正常系</t>
        </is>
      </c>
      <c r="D172" s="12" t="inlineStr">
        <is>
          <t>CSVがUTF-8（BOM付き）で、定められたヘッダ行で返る</t>
        </is>
      </c>
      <c r="E172" s="12" t="inlineStr">
        <is>
          <t>申込がある</t>
        </is>
      </c>
      <c r="F172" s="12" t="inlineStr">
        <is>
          <t>管理者（ID=2）で?format=csv</t>
        </is>
      </c>
      <c r="G172" s="12" t="inlineStr">
        <is>
          <t>200。Content-Typeがtext/csv;charset=UTF-8。先頭がBOM。1行目が「イベント名,申込者名,申込日時,ステータス,アンケート回答,参加区分」</t>
        </is>
      </c>
      <c r="H172" s="12" t="inlineStr">
        <is>
          <t>-（参照のみ）</t>
        </is>
      </c>
      <c r="I172" s="12" t="inlineStr">
        <is>
          <t>-</t>
        </is>
      </c>
      <c r="J172" s="12" t="inlineStr">
        <is>
          <t>AP-130</t>
        </is>
      </c>
      <c r="K172" s="12" t="inlineStr">
        <is>
          <t>手動</t>
        </is>
      </c>
      <c r="L172" s="12" t="n"/>
      <c r="M172" s="12" t="inlineStr">
        <is>
          <t>OK</t>
        </is>
      </c>
      <c r="N172" s="23" t="n">
        <v>46304</v>
      </c>
      <c r="O172" s="12" t="inlineStr">
        <is>
          <t>佐々木</t>
        </is>
      </c>
      <c r="P172" s="12" t="n"/>
      <c r="Q172" s="15" t="inlineStr">
        <is>
          <t>45_テストエビデンス_API結合.xlsx／AP-130</t>
        </is>
      </c>
      <c r="R172" s="12" t="n"/>
      <c r="S172" s="12" t="n"/>
      <c r="T172" s="12" t="n"/>
    </row>
    <row r="173" ht="54" customHeight="1">
      <c r="A173" s="12" t="inlineStr">
        <is>
          <t>IT-AP130-N05</t>
        </is>
      </c>
      <c r="B173" s="12" t="inlineStr">
        <is>
          <t>AP-130 申込実績取得（一覧・CSV） GET /api/reports/applications</t>
        </is>
      </c>
      <c r="C173" s="12" t="inlineStr">
        <is>
          <t>正常系</t>
        </is>
      </c>
      <c r="D173" s="12" t="inlineStr">
        <is>
          <t>CSVのステータス列に申込状況の表示名が出力される</t>
        </is>
      </c>
      <c r="E173" s="12" t="inlineStr">
        <is>
          <t>キャンセル待ちの申込がある</t>
        </is>
      </c>
      <c r="F173" s="12" t="inlineStr">
        <is>
          <t>管理者（ID=2）で?format=csv</t>
        </is>
      </c>
      <c r="G173" s="12" t="inlineStr">
        <is>
          <t>対象の行のステータス列が「キャンセル待ち」（コードではなく表示名）</t>
        </is>
      </c>
      <c r="H173" s="12" t="inlineStr">
        <is>
          <t>-（参照のみ）</t>
        </is>
      </c>
      <c r="I173" s="12" t="inlineStr">
        <is>
          <t>-</t>
        </is>
      </c>
      <c r="J173" s="12" t="inlineStr">
        <is>
          <t>23_API基本設計書 2.8</t>
        </is>
      </c>
      <c r="K173" s="12" t="inlineStr">
        <is>
          <t>手動</t>
        </is>
      </c>
      <c r="L173" s="12" t="n"/>
      <c r="M173" s="12" t="inlineStr">
        <is>
          <t>OK</t>
        </is>
      </c>
      <c r="N173" s="23" t="n">
        <v>46304</v>
      </c>
      <c r="O173" s="12" t="inlineStr">
        <is>
          <t>佐々木</t>
        </is>
      </c>
      <c r="P173" s="12" t="n"/>
      <c r="Q173" s="15" t="inlineStr">
        <is>
          <t>45_テストエビデンス_API結合.xlsx／AP-130</t>
        </is>
      </c>
      <c r="R173" s="12" t="n"/>
      <c r="S173" s="12" t="n"/>
      <c r="T173" s="12" t="n"/>
    </row>
    <row r="174" ht="54" customHeight="1">
      <c r="A174" s="12" t="inlineStr">
        <is>
          <t>IT-AP130-N06</t>
        </is>
      </c>
      <c r="B174" s="12" t="inlineStr">
        <is>
          <t>AP-130 申込実績取得（一覧・CSV） GET /api/reports/applications</t>
        </is>
      </c>
      <c r="C174" s="12" t="inlineStr">
        <is>
          <t>正常系</t>
        </is>
      </c>
      <c r="D174" s="12" t="inlineStr">
        <is>
          <t>CSVに削除済みのイベントの申込は出力されない</t>
        </is>
      </c>
      <c r="E174" s="12" t="inlineStr">
        <is>
          <t>削除済みのイベントに申込がある</t>
        </is>
      </c>
      <c r="F174" s="12" t="inlineStr">
        <is>
          <t>管理者（ID=2）で?format=csv</t>
        </is>
      </c>
      <c r="G174" s="12" t="inlineStr">
        <is>
          <t>削除済みのイベントの申込の行が無い</t>
        </is>
      </c>
      <c r="H174" s="12" t="inlineStr">
        <is>
          <t>-（参照のみ）</t>
        </is>
      </c>
      <c r="I174" s="12" t="inlineStr">
        <is>
          <t>-</t>
        </is>
      </c>
      <c r="J174" s="12" t="inlineStr">
        <is>
          <t>10_要件定義書 7章「申込実績の集計対象」</t>
        </is>
      </c>
      <c r="K174" s="12" t="inlineStr">
        <is>
          <t>自動</t>
        </is>
      </c>
      <c r="L174" s="12" t="inlineStr">
        <is>
          <t>ap122_csv出力は削除済みイベントの申込を含まない</t>
        </is>
      </c>
      <c r="M174" s="12" t="inlineStr">
        <is>
          <t>OK</t>
        </is>
      </c>
      <c r="N174" s="23" t="n">
        <v>46302</v>
      </c>
      <c r="O174" s="12" t="inlineStr">
        <is>
          <t>佐々木（Claude Code）</t>
        </is>
      </c>
      <c r="P174" s="12" t="inlineStr">
        <is>
          <t>自動テスト成功</t>
        </is>
      </c>
      <c r="Q174" s="12" t="inlineStr">
        <is>
          <t>evidence/IT/IT_API結合_結果一覧_20261007.txt</t>
        </is>
      </c>
      <c r="R174" s="12" t="n"/>
      <c r="S174" s="12" t="n"/>
      <c r="T174" s="12" t="n"/>
    </row>
    <row r="175" ht="54" customHeight="1">
      <c r="A175" s="12" t="inlineStr">
        <is>
          <t>IT-AP130-N07</t>
        </is>
      </c>
      <c r="B175" s="12" t="inlineStr">
        <is>
          <t>AP-130 申込実績取得（一覧・CSV） GET /api/reports/applications</t>
        </is>
      </c>
      <c r="C175" s="12" t="inlineStr">
        <is>
          <t>正常系</t>
        </is>
      </c>
      <c r="D175" s="12" t="inlineStr">
        <is>
          <t>CSVにアンケート回答が出力される</t>
        </is>
      </c>
      <c r="E175" s="12" t="inlineStr">
        <is>
          <t>アンケート回答付きの申込がある</t>
        </is>
      </c>
      <c r="F175" s="12" t="inlineStr">
        <is>
          <t>管理者（ID=2）で?format=csv</t>
        </is>
      </c>
      <c r="G175" s="12" t="inlineStr">
        <is>
          <t>対象の行のアンケート回答列に回答が出力される</t>
        </is>
      </c>
      <c r="H175" s="12" t="inlineStr">
        <is>
          <t>-（参照のみ）</t>
        </is>
      </c>
      <c r="I175" s="12" t="inlineStr">
        <is>
          <t>-</t>
        </is>
      </c>
      <c r="J175" s="12" t="inlineStr">
        <is>
          <t>AP-130</t>
        </is>
      </c>
      <c r="K175" s="12" t="inlineStr">
        <is>
          <t>自動</t>
        </is>
      </c>
      <c r="L175" s="12" t="inlineStr">
        <is>
          <t>ap130_csv出力にアンケート回答列が含まれる</t>
        </is>
      </c>
      <c r="M175" s="12" t="inlineStr">
        <is>
          <t>OK</t>
        </is>
      </c>
      <c r="N175" s="23" t="n">
        <v>46302</v>
      </c>
      <c r="O175" s="12" t="inlineStr">
        <is>
          <t>佐々木（Claude Code）</t>
        </is>
      </c>
      <c r="P175" s="12" t="inlineStr">
        <is>
          <t>自動テスト成功</t>
        </is>
      </c>
      <c r="Q175" s="12" t="inlineStr">
        <is>
          <t>evidence/IT/IT_API結合_結果一覧_20261007.txt</t>
        </is>
      </c>
      <c r="R175" s="12" t="n"/>
      <c r="S175" s="12" t="n"/>
      <c r="T175" s="12" t="n"/>
    </row>
    <row r="176" ht="54" customHeight="1">
      <c r="A176" s="12" t="inlineStr">
        <is>
          <t>IT-AP130-N08</t>
        </is>
      </c>
      <c r="B176" s="12" t="inlineStr">
        <is>
          <t>AP-130 申込実績取得（一覧・CSV） GET /api/reports/applications</t>
        </is>
      </c>
      <c r="C176" s="12" t="inlineStr">
        <is>
          <t>正常系</t>
        </is>
      </c>
      <c r="D176" s="12" t="inlineStr">
        <is>
          <t>CSVに参加区分名が出力される</t>
        </is>
      </c>
      <c r="E176" s="12" t="inlineStr">
        <is>
          <t>参加区分付きのイベントへの申込がある</t>
        </is>
      </c>
      <c r="F176" s="12" t="inlineStr">
        <is>
          <t>管理者（ID=2）で?format=csv</t>
        </is>
      </c>
      <c r="G176" s="12" t="inlineStr">
        <is>
          <t>対象の行の参加区分列に区分名が出力される</t>
        </is>
      </c>
      <c r="H176" s="12" t="inlineStr">
        <is>
          <t>-（参照のみ）</t>
        </is>
      </c>
      <c r="I176" s="12" t="inlineStr">
        <is>
          <t>-</t>
        </is>
      </c>
      <c r="J176" s="12" t="inlineStr">
        <is>
          <t>AP-130</t>
        </is>
      </c>
      <c r="K176" s="12" t="inlineStr">
        <is>
          <t>自動</t>
        </is>
      </c>
      <c r="L176" s="12" t="inlineStr">
        <is>
          <t>ap130_csv出力に参加区分列が含まれる</t>
        </is>
      </c>
      <c r="M176" s="12" t="inlineStr">
        <is>
          <t>OK</t>
        </is>
      </c>
      <c r="N176" s="23" t="n">
        <v>46302</v>
      </c>
      <c r="O176" s="12" t="inlineStr">
        <is>
          <t>佐々木（Claude Code）</t>
        </is>
      </c>
      <c r="P176" s="12" t="inlineStr">
        <is>
          <t>自動テスト成功</t>
        </is>
      </c>
      <c r="Q176" s="12" t="inlineStr">
        <is>
          <t>evidence/IT/IT_API結合_結果一覧_20261007.txt</t>
        </is>
      </c>
      <c r="R176" s="12" t="n"/>
      <c r="S176" s="12" t="n"/>
      <c r="T176" s="12" t="n"/>
    </row>
    <row r="177" ht="54" customHeight="1">
      <c r="A177" s="12" t="inlineStr">
        <is>
          <t>IT-AP130-E01</t>
        </is>
      </c>
      <c r="B177" s="12" t="inlineStr">
        <is>
          <t>AP-130 申込実績取得（一覧・CSV） GET /api/reports/applications</t>
        </is>
      </c>
      <c r="C177" s="12" t="inlineStr">
        <is>
          <t>異常系</t>
        </is>
      </c>
      <c r="D177" s="12" t="inlineStr">
        <is>
          <t>一般利用者は実行できない</t>
        </is>
      </c>
      <c r="E177" s="12" t="inlineStr">
        <is>
          <t>-</t>
        </is>
      </c>
      <c r="F177" s="12" t="inlineStr">
        <is>
          <t>一般ユーザー（ID=1）で呼ぶ</t>
        </is>
      </c>
      <c r="G177" s="12" t="inlineStr">
        <is>
          <t>403「権限がありません」（E-A-002）</t>
        </is>
      </c>
      <c r="H177" s="12" t="inlineStr">
        <is>
          <t>-（参照のみ）</t>
        </is>
      </c>
      <c r="I177" s="12" t="inlineStr">
        <is>
          <t>-</t>
        </is>
      </c>
      <c r="J177" s="12" t="inlineStr">
        <is>
          <t>23_API基本設計書 3.2</t>
        </is>
      </c>
      <c r="K177" s="12" t="inlineStr">
        <is>
          <t>手動</t>
        </is>
      </c>
      <c r="L177" s="12" t="n"/>
      <c r="M177" s="12" t="inlineStr">
        <is>
          <t>OK</t>
        </is>
      </c>
      <c r="N177" s="23" t="n">
        <v>46304</v>
      </c>
      <c r="O177" s="12" t="inlineStr">
        <is>
          <t>佐々木</t>
        </is>
      </c>
      <c r="P177" s="12" t="n"/>
      <c r="Q177" s="15" t="inlineStr">
        <is>
          <t>45_テストエビデンス_API結合.xlsx／AP-130</t>
        </is>
      </c>
      <c r="R177" s="12" t="n"/>
      <c r="S177" s="12" t="n"/>
      <c r="T177" s="12" t="n"/>
    </row>
    <row r="178" ht="40.5" customHeight="1">
      <c r="A178" s="12" t="inlineStr">
        <is>
          <t>IT-AP131-N01</t>
        </is>
      </c>
      <c r="B178" s="12" t="inlineStr">
        <is>
          <t>AP-131 お気に入り総数取得 GET /api/favorites/count</t>
        </is>
      </c>
      <c r="C178" s="12" t="inlineStr">
        <is>
          <t>正常系</t>
        </is>
      </c>
      <c r="D178" s="12" t="inlineStr">
        <is>
          <t>お気に入りの総数が返る</t>
        </is>
      </c>
      <c r="E178" s="12" t="inlineStr">
        <is>
          <t>お気に入りの登録が2件ある</t>
        </is>
      </c>
      <c r="F178" s="12" t="inlineStr">
        <is>
          <t>管理者（ID=2）で呼ぶ</t>
        </is>
      </c>
      <c r="G178" s="12" t="inlineStr">
        <is>
          <t>200、{"count": 2}</t>
        </is>
      </c>
      <c r="H178" s="12" t="inlineStr">
        <is>
          <t>-（参照のみ）</t>
        </is>
      </c>
      <c r="I178" s="12" t="inlineStr">
        <is>
          <t>-</t>
        </is>
      </c>
      <c r="J178" s="12" t="inlineStr">
        <is>
          <t>AP-131</t>
        </is>
      </c>
      <c r="K178" s="12" t="inlineStr">
        <is>
          <t>自動</t>
        </is>
      </c>
      <c r="L178" s="12" t="inlineStr">
        <is>
          <t>ap131_管理者はお気に入り総数を取得できる</t>
        </is>
      </c>
      <c r="M178" s="12" t="inlineStr">
        <is>
          <t>OK</t>
        </is>
      </c>
      <c r="N178" s="23" t="n">
        <v>46302</v>
      </c>
      <c r="O178" s="12" t="inlineStr">
        <is>
          <t>佐々木（Claude Code）</t>
        </is>
      </c>
      <c r="P178" s="12" t="inlineStr">
        <is>
          <t>自動テスト成功</t>
        </is>
      </c>
      <c r="Q178" s="12" t="inlineStr">
        <is>
          <t>evidence/IT/IT_API結合_結果一覧_20261007.txt</t>
        </is>
      </c>
      <c r="R178" s="12" t="n"/>
      <c r="S178" s="12" t="n"/>
      <c r="T178" s="12" t="n"/>
    </row>
    <row r="179" ht="40.5" customHeight="1">
      <c r="A179" s="12" t="inlineStr">
        <is>
          <t>IT-AP131-E01</t>
        </is>
      </c>
      <c r="B179" s="12" t="inlineStr">
        <is>
          <t>AP-131 お気に入り総数取得 GET /api/favorites/count</t>
        </is>
      </c>
      <c r="C179" s="12" t="inlineStr">
        <is>
          <t>異常系</t>
        </is>
      </c>
      <c r="D179" s="12" t="inlineStr">
        <is>
          <t>一般利用者は実行できない</t>
        </is>
      </c>
      <c r="E179" s="12" t="inlineStr">
        <is>
          <t>-</t>
        </is>
      </c>
      <c r="F179" s="12" t="inlineStr">
        <is>
          <t>一般ユーザー（ID=1）で呼ぶ</t>
        </is>
      </c>
      <c r="G179" s="12" t="inlineStr">
        <is>
          <t>403「権限がありません」（E-A-002）</t>
        </is>
      </c>
      <c r="H179" s="12" t="inlineStr">
        <is>
          <t>-（参照のみ）</t>
        </is>
      </c>
      <c r="I179" s="12" t="inlineStr">
        <is>
          <t>-</t>
        </is>
      </c>
      <c r="J179" s="12" t="inlineStr">
        <is>
          <t>23_API基本設計書 3.2</t>
        </is>
      </c>
      <c r="K179" s="12" t="inlineStr">
        <is>
          <t>自動</t>
        </is>
      </c>
      <c r="L179" s="12" t="inlineStr">
        <is>
          <t>ap131_一般ユーザーはお気に入り総数を取得できない</t>
        </is>
      </c>
      <c r="M179" s="12" t="inlineStr">
        <is>
          <t>OK</t>
        </is>
      </c>
      <c r="N179" s="23" t="n">
        <v>46302</v>
      </c>
      <c r="O179" s="12" t="inlineStr">
        <is>
          <t>佐々木（Claude Code）</t>
        </is>
      </c>
      <c r="P179" s="12" t="inlineStr">
        <is>
          <t>自動テスト成功</t>
        </is>
      </c>
      <c r="Q179" s="12" t="inlineStr">
        <is>
          <t>evidence/IT/IT_API結合_結果一覧_20261007.txt</t>
        </is>
      </c>
      <c r="R179" s="12" t="n"/>
      <c r="S179" s="12" t="n"/>
      <c r="T179" s="12" t="n"/>
    </row>
    <row r="180" ht="40.5" customHeight="1">
      <c r="A180" s="12" t="inlineStr">
        <is>
          <t>IT-AP132-N01</t>
        </is>
      </c>
      <c r="B180" s="12" t="inlineStr">
        <is>
          <t>AP-132 コメント総数取得 GET /api/comments/count</t>
        </is>
      </c>
      <c r="C180" s="12" t="inlineStr">
        <is>
          <t>正常系</t>
        </is>
      </c>
      <c r="D180" s="12" t="inlineStr">
        <is>
          <t>論理削除済みを除いたコメントの総数が返る</t>
        </is>
      </c>
      <c r="E180" s="12" t="inlineStr">
        <is>
          <t>有効なコメント2件と、論理削除済みのコメント1件がある</t>
        </is>
      </c>
      <c r="F180" s="12" t="inlineStr">
        <is>
          <t>管理者（ID=2）で呼ぶ</t>
        </is>
      </c>
      <c r="G180" s="12" t="inlineStr">
        <is>
          <t>200、{"count": 2}</t>
        </is>
      </c>
      <c r="H180" s="12" t="inlineStr">
        <is>
          <t>-（参照のみ）</t>
        </is>
      </c>
      <c r="I180" s="12" t="inlineStr">
        <is>
          <t>-</t>
        </is>
      </c>
      <c r="J180" s="12" t="inlineStr">
        <is>
          <t>AP-132</t>
        </is>
      </c>
      <c r="K180" s="12" t="inlineStr">
        <is>
          <t>自動</t>
        </is>
      </c>
      <c r="L180" s="12" t="inlineStr">
        <is>
          <t>ap132_コメント総数取得は論理削除済みを除外する</t>
        </is>
      </c>
      <c r="M180" s="12" t="inlineStr">
        <is>
          <t>OK</t>
        </is>
      </c>
      <c r="N180" s="23" t="n">
        <v>46302</v>
      </c>
      <c r="O180" s="12" t="inlineStr">
        <is>
          <t>佐々木（Claude Code）</t>
        </is>
      </c>
      <c r="P180" s="12" t="inlineStr">
        <is>
          <t>自動テスト成功</t>
        </is>
      </c>
      <c r="Q180" s="12" t="inlineStr">
        <is>
          <t>evidence/IT/IT_API結合_結果一覧_20261007.txt</t>
        </is>
      </c>
      <c r="R180" s="12" t="n"/>
      <c r="S180" s="12" t="n"/>
      <c r="T180" s="12" t="n"/>
    </row>
    <row r="181" ht="40.5" customHeight="1">
      <c r="A181" s="12" t="inlineStr">
        <is>
          <t>IT-AP132-E01</t>
        </is>
      </c>
      <c r="B181" s="12" t="inlineStr">
        <is>
          <t>AP-132 コメント総数取得 GET /api/comments/count</t>
        </is>
      </c>
      <c r="C181" s="12" t="inlineStr">
        <is>
          <t>異常系</t>
        </is>
      </c>
      <c r="D181" s="12" t="inlineStr">
        <is>
          <t>一般利用者は実行できない</t>
        </is>
      </c>
      <c r="E181" s="12" t="inlineStr">
        <is>
          <t>-</t>
        </is>
      </c>
      <c r="F181" s="12" t="inlineStr">
        <is>
          <t>一般ユーザー（ID=1）で呼ぶ</t>
        </is>
      </c>
      <c r="G181" s="12" t="inlineStr">
        <is>
          <t>403「権限がありません」（E-A-002）</t>
        </is>
      </c>
      <c r="H181" s="12" t="inlineStr">
        <is>
          <t>-（参照のみ）</t>
        </is>
      </c>
      <c r="I181" s="12" t="inlineStr">
        <is>
          <t>-</t>
        </is>
      </c>
      <c r="J181" s="12" t="inlineStr">
        <is>
          <t>23_API基本設計書 3.2</t>
        </is>
      </c>
      <c r="K181" s="12" t="inlineStr">
        <is>
          <t>手動</t>
        </is>
      </c>
      <c r="L181" s="12" t="n"/>
      <c r="M181" s="12" t="inlineStr">
        <is>
          <t>OK</t>
        </is>
      </c>
      <c r="N181" s="23" t="n">
        <v>46304</v>
      </c>
      <c r="O181" s="12" t="inlineStr">
        <is>
          <t>佐々木</t>
        </is>
      </c>
      <c r="P181" s="12" t="n"/>
      <c r="Q181" s="15" t="inlineStr">
        <is>
          <t>45_テストエビデンス_API結合.xlsx／AP-132</t>
        </is>
      </c>
      <c r="R181" s="12" t="n"/>
      <c r="S181" s="12" t="n"/>
      <c r="T181" s="12" t="n"/>
    </row>
    <row r="182" ht="27" customHeight="1">
      <c r="A182" s="12" t="inlineStr">
        <is>
          <t>IT-AP140-N01</t>
        </is>
      </c>
      <c r="B182" s="12" t="inlineStr">
        <is>
          <t>AP-140 利用者一覧取得 GET /api/users</t>
        </is>
      </c>
      <c r="C182" s="12" t="inlineStr">
        <is>
          <t>正常系</t>
        </is>
      </c>
      <c r="D182" s="12" t="inlineStr">
        <is>
          <t>全ての利用者が利用者IDの昇順で返る</t>
        </is>
      </c>
      <c r="E182" s="12" t="inlineStr">
        <is>
          <t>TD-00</t>
        </is>
      </c>
      <c r="F182" s="12" t="inlineStr">
        <is>
          <t>管理者（ID=2）で呼ぶ</t>
        </is>
      </c>
      <c r="G182" s="12" t="inlineStr">
        <is>
          <t>200。3件がuserIdの昇順で返り、各要素にroleCode・roleNameがある</t>
        </is>
      </c>
      <c r="H182" s="12" t="inlineStr">
        <is>
          <t>-（参照のみ）</t>
        </is>
      </c>
      <c r="I182" s="12" t="inlineStr">
        <is>
          <t>-</t>
        </is>
      </c>
      <c r="J182" s="12" t="inlineStr">
        <is>
          <t>AP-140</t>
        </is>
      </c>
      <c r="K182" s="12" t="inlineStr">
        <is>
          <t>手動</t>
        </is>
      </c>
      <c r="L182" s="12" t="n"/>
      <c r="M182" s="12" t="inlineStr">
        <is>
          <t>OK</t>
        </is>
      </c>
      <c r="N182" s="23" t="n">
        <v>46304</v>
      </c>
      <c r="O182" s="12" t="inlineStr">
        <is>
          <t>佐々木</t>
        </is>
      </c>
      <c r="P182" s="12" t="n"/>
      <c r="Q182" s="15" t="inlineStr">
        <is>
          <t>45_テストエビデンス_API結合.xlsx／AP-140</t>
        </is>
      </c>
      <c r="R182" s="12" t="n"/>
      <c r="S182" s="12" t="n"/>
      <c r="T182" s="12" t="n"/>
    </row>
    <row r="183" ht="27" customHeight="1">
      <c r="A183" s="12" t="inlineStr">
        <is>
          <t>IT-AP140-N02</t>
        </is>
      </c>
      <c r="B183" s="12" t="inlineStr">
        <is>
          <t>AP-140 利用者一覧取得 GET /api/users</t>
        </is>
      </c>
      <c r="C183" s="12" t="inlineStr">
        <is>
          <t>正常系</t>
        </is>
      </c>
      <c r="D183" s="12" t="inlineStr">
        <is>
          <t>退会済みの利用者は退会日時付きで返る</t>
        </is>
      </c>
      <c r="E183" s="12" t="inlineStr">
        <is>
          <t>退会済みの利用者がいる</t>
        </is>
      </c>
      <c r="F183" s="12" t="inlineStr">
        <is>
          <t>管理者（ID=2）で呼ぶ</t>
        </is>
      </c>
      <c r="G183" s="12" t="inlineStr">
        <is>
          <t>対象の要素のname=「退会済み利用者」、anonymizedAtに日時</t>
        </is>
      </c>
      <c r="H183" s="12" t="inlineStr">
        <is>
          <t>-（参照のみ）</t>
        </is>
      </c>
      <c r="I183" s="12" t="inlineStr">
        <is>
          <t>-</t>
        </is>
      </c>
      <c r="J183" s="12" t="inlineStr">
        <is>
          <t>AP-140</t>
        </is>
      </c>
      <c r="K183" s="12" t="inlineStr">
        <is>
          <t>手動</t>
        </is>
      </c>
      <c r="L183" s="12" t="n"/>
      <c r="M183" s="12" t="inlineStr">
        <is>
          <t>OK</t>
        </is>
      </c>
      <c r="N183" s="23" t="n">
        <v>46304</v>
      </c>
      <c r="O183" s="12" t="inlineStr">
        <is>
          <t>佐々木</t>
        </is>
      </c>
      <c r="P183" s="12" t="n"/>
      <c r="Q183" s="15" t="inlineStr">
        <is>
          <t>45_テストエビデンス_API結合.xlsx／AP-140</t>
        </is>
      </c>
      <c r="R183" s="12" t="n"/>
      <c r="S183" s="12" t="n"/>
      <c r="T183" s="12" t="n"/>
    </row>
    <row r="184" ht="27" customHeight="1">
      <c r="A184" s="12" t="inlineStr">
        <is>
          <t>IT-AP140-E01</t>
        </is>
      </c>
      <c r="B184" s="12" t="inlineStr">
        <is>
          <t>AP-140 利用者一覧取得 GET /api/users</t>
        </is>
      </c>
      <c r="C184" s="12" t="inlineStr">
        <is>
          <t>異常系</t>
        </is>
      </c>
      <c r="D184" s="12" t="inlineStr">
        <is>
          <t>一般利用者は実行できない</t>
        </is>
      </c>
      <c r="E184" s="12" t="inlineStr">
        <is>
          <t>-</t>
        </is>
      </c>
      <c r="F184" s="12" t="inlineStr">
        <is>
          <t>一般ユーザー（ID=1）で呼ぶ</t>
        </is>
      </c>
      <c r="G184" s="12" t="inlineStr">
        <is>
          <t>403「権限がありません」（E-A-002）</t>
        </is>
      </c>
      <c r="H184" s="12" t="inlineStr">
        <is>
          <t>-（参照のみ）</t>
        </is>
      </c>
      <c r="I184" s="12" t="inlineStr">
        <is>
          <t>-</t>
        </is>
      </c>
      <c r="J184" s="12" t="inlineStr">
        <is>
          <t>23_API基本設計書 3.2</t>
        </is>
      </c>
      <c r="K184" s="12" t="inlineStr">
        <is>
          <t>手動</t>
        </is>
      </c>
      <c r="L184" s="12" t="n"/>
      <c r="M184" s="12" t="inlineStr">
        <is>
          <t>OK</t>
        </is>
      </c>
      <c r="N184" s="23" t="n">
        <v>46304</v>
      </c>
      <c r="O184" s="12" t="inlineStr">
        <is>
          <t>佐々木</t>
        </is>
      </c>
      <c r="P184" s="12" t="n"/>
      <c r="Q184" s="15" t="inlineStr">
        <is>
          <t>45_テストエビデンス_API結合.xlsx／AP-140</t>
        </is>
      </c>
      <c r="R184" s="12" t="n"/>
      <c r="S184" s="12" t="n"/>
      <c r="T184" s="12" t="n"/>
    </row>
    <row r="185" ht="27" customHeight="1">
      <c r="A185" s="12" t="inlineStr">
        <is>
          <t>IT-AP141-N01</t>
        </is>
      </c>
      <c r="B185" s="12" t="inlineStr">
        <is>
          <t>AP-141 利用者情報取得 GET /api/users/{id}</t>
        </is>
      </c>
      <c r="C185" s="12" t="inlineStr">
        <is>
          <t>正常系</t>
        </is>
      </c>
      <c r="D185" s="12" t="inlineStr">
        <is>
          <t>指定した利用者の情報が返る</t>
        </is>
      </c>
      <c r="E185" s="12" t="inlineStr">
        <is>
          <t>TD-00</t>
        </is>
      </c>
      <c r="F185" s="12" t="inlineStr">
        <is>
          <t>管理者（ID=2）でGET /api/users/1</t>
        </is>
      </c>
      <c r="G185" s="12" t="inlineStr">
        <is>
          <t>200、userId=1、roleCode=1</t>
        </is>
      </c>
      <c r="H185" s="12" t="inlineStr">
        <is>
          <t>-（参照のみ）</t>
        </is>
      </c>
      <c r="I185" s="12" t="inlineStr">
        <is>
          <t>-</t>
        </is>
      </c>
      <c r="J185" s="12" t="inlineStr">
        <is>
          <t>AP-141</t>
        </is>
      </c>
      <c r="K185" s="12" t="inlineStr">
        <is>
          <t>自動</t>
        </is>
      </c>
      <c r="L185" s="12" t="inlineStr">
        <is>
          <t>ap141_管理者は利用者情報を取得できる</t>
        </is>
      </c>
      <c r="M185" s="12" t="inlineStr">
        <is>
          <t>OK</t>
        </is>
      </c>
      <c r="N185" s="23" t="n">
        <v>46302</v>
      </c>
      <c r="O185" s="12" t="inlineStr">
        <is>
          <t>佐々木（Claude Code）</t>
        </is>
      </c>
      <c r="P185" s="12" t="inlineStr">
        <is>
          <t>自動テスト成功</t>
        </is>
      </c>
      <c r="Q185" s="12" t="inlineStr">
        <is>
          <t>evidence/IT/IT_API結合_結果一覧_20261007.txt</t>
        </is>
      </c>
      <c r="R185" s="12" t="n"/>
      <c r="S185" s="12" t="n"/>
      <c r="T185" s="12" t="n"/>
    </row>
    <row r="186" ht="27" customHeight="1">
      <c r="A186" s="12" t="inlineStr">
        <is>
          <t>IT-AP141-E01</t>
        </is>
      </c>
      <c r="B186" s="12" t="inlineStr">
        <is>
          <t>AP-141 利用者情報取得 GET /api/users/{id}</t>
        </is>
      </c>
      <c r="C186" s="12" t="inlineStr">
        <is>
          <t>異常系</t>
        </is>
      </c>
      <c r="D186" s="12" t="inlineStr">
        <is>
          <t>一般利用者は実行できない</t>
        </is>
      </c>
      <c r="E186" s="12" t="inlineStr">
        <is>
          <t>-</t>
        </is>
      </c>
      <c r="F186" s="12" t="inlineStr">
        <is>
          <t>一般ユーザー（ID=1）で呼ぶ</t>
        </is>
      </c>
      <c r="G186" s="12" t="inlineStr">
        <is>
          <t>403「権限がありません」（E-A-002）</t>
        </is>
      </c>
      <c r="H186" s="12" t="inlineStr">
        <is>
          <t>-（参照のみ）</t>
        </is>
      </c>
      <c r="I186" s="12" t="inlineStr">
        <is>
          <t>-</t>
        </is>
      </c>
      <c r="J186" s="12" t="inlineStr">
        <is>
          <t>23_API基本設計書 3.2</t>
        </is>
      </c>
      <c r="K186" s="12" t="inlineStr">
        <is>
          <t>自動</t>
        </is>
      </c>
      <c r="L186" s="12" t="inlineStr">
        <is>
          <t>ap141_一般ユーザーは利用者情報を取得できない</t>
        </is>
      </c>
      <c r="M186" s="12" t="inlineStr">
        <is>
          <t>OK</t>
        </is>
      </c>
      <c r="N186" s="23" t="n">
        <v>46302</v>
      </c>
      <c r="O186" s="12" t="inlineStr">
        <is>
          <t>佐々木（Claude Code）</t>
        </is>
      </c>
      <c r="P186" s="12" t="inlineStr">
        <is>
          <t>自動テスト成功</t>
        </is>
      </c>
      <c r="Q186" s="12" t="inlineStr">
        <is>
          <t>evidence/IT/IT_API結合_結果一覧_20261007.txt</t>
        </is>
      </c>
      <c r="R186" s="12" t="n"/>
      <c r="S186" s="12" t="n"/>
      <c r="T186" s="12" t="n"/>
    </row>
    <row r="187" ht="27" customHeight="1">
      <c r="A187" s="12" t="inlineStr">
        <is>
          <t>IT-AP141-E02</t>
        </is>
      </c>
      <c r="B187" s="12" t="inlineStr">
        <is>
          <t>AP-141 利用者情報取得 GET /api/users/{id}</t>
        </is>
      </c>
      <c r="C187" s="12" t="inlineStr">
        <is>
          <t>異常系</t>
        </is>
      </c>
      <c r="D187" s="12" t="inlineStr">
        <is>
          <t>存在しない利用者の情報は取得できない</t>
        </is>
      </c>
      <c r="E187" s="12" t="inlineStr">
        <is>
          <t>-</t>
        </is>
      </c>
      <c r="F187" s="12" t="inlineStr">
        <is>
          <t>管理者（ID=2）でGET /api/users/9999</t>
        </is>
      </c>
      <c r="G187" s="12" t="inlineStr">
        <is>
          <t>404「利用者が見つかりません」（E-B-018）</t>
        </is>
      </c>
      <c r="H187" s="12" t="inlineStr">
        <is>
          <t>-（参照のみ）</t>
        </is>
      </c>
      <c r="I187" s="12" t="inlineStr">
        <is>
          <t>-</t>
        </is>
      </c>
      <c r="J187" s="12" t="inlineStr">
        <is>
          <t>AP-141</t>
        </is>
      </c>
      <c r="K187" s="12" t="inlineStr">
        <is>
          <t>自動</t>
        </is>
      </c>
      <c r="L187" s="12" t="inlineStr">
        <is>
          <t>ap141_存在しない利用者の情報は取得できない</t>
        </is>
      </c>
      <c r="M187" s="12" t="inlineStr">
        <is>
          <t>OK</t>
        </is>
      </c>
      <c r="N187" s="23" t="n">
        <v>46302</v>
      </c>
      <c r="O187" s="12" t="inlineStr">
        <is>
          <t>佐々木（Claude Code）</t>
        </is>
      </c>
      <c r="P187" s="12" t="inlineStr">
        <is>
          <t>自動テスト成功</t>
        </is>
      </c>
      <c r="Q187" s="12" t="inlineStr">
        <is>
          <t>evidence/IT/IT_API結合_結果一覧_20261007.txt</t>
        </is>
      </c>
      <c r="R187" s="12" t="n"/>
      <c r="S187" s="12" t="n"/>
      <c r="T187" s="12" t="n"/>
    </row>
    <row r="188" ht="54" customHeight="1">
      <c r="A188" s="12" t="inlineStr">
        <is>
          <t>IT-AP142-N01</t>
        </is>
      </c>
      <c r="B188" s="12" t="inlineStr">
        <is>
          <t>AP-142 利用者の申込一覧取得 GET /api/users/{id}/applications</t>
        </is>
      </c>
      <c r="C188" s="12" t="inlineStr">
        <is>
          <t>正常系</t>
        </is>
      </c>
      <c r="D188" s="12" t="inlineStr">
        <is>
          <t>指定した利用者の申込が、キャンセル済を含めて申込日時の降順で返る</t>
        </is>
      </c>
      <c r="E188" s="12" t="inlineStr">
        <is>
          <t>一般ユーザーが受付済とキャンセル済の申込を持つ</t>
        </is>
      </c>
      <c r="F188" s="12" t="inlineStr">
        <is>
          <t>管理者（ID=2）でGET /api/users/1/applications</t>
        </is>
      </c>
      <c r="G188" s="12" t="inlineStr">
        <is>
          <t>200。2件がappliedAtの降順で返る</t>
        </is>
      </c>
      <c r="H188" s="12" t="inlineStr">
        <is>
          <t>-（参照のみ）</t>
        </is>
      </c>
      <c r="I188" s="12" t="inlineStr">
        <is>
          <t>-</t>
        </is>
      </c>
      <c r="J188" s="12" t="inlineStr">
        <is>
          <t>AP-142</t>
        </is>
      </c>
      <c r="K188" s="12" t="inlineStr">
        <is>
          <t>自動</t>
        </is>
      </c>
      <c r="L188" s="12" t="inlineStr">
        <is>
          <t>ap142_利用者の申込一覧取得</t>
        </is>
      </c>
      <c r="M188" s="12" t="inlineStr">
        <is>
          <t>OK</t>
        </is>
      </c>
      <c r="N188" s="23" t="n">
        <v>46302</v>
      </c>
      <c r="O188" s="12" t="inlineStr">
        <is>
          <t>佐々木（Claude Code）</t>
        </is>
      </c>
      <c r="P188" s="12" t="inlineStr">
        <is>
          <t>自動テスト成功</t>
        </is>
      </c>
      <c r="Q188" s="12" t="inlineStr">
        <is>
          <t>evidence/IT/IT_API結合_結果一覧_20261007.txt</t>
        </is>
      </c>
      <c r="R188" s="12" t="n"/>
      <c r="S188" s="12" t="n"/>
      <c r="T188" s="12" t="n"/>
    </row>
    <row r="189" ht="54" customHeight="1">
      <c r="A189" s="12" t="inlineStr">
        <is>
          <t>IT-AP142-E01</t>
        </is>
      </c>
      <c r="B189" s="12" t="inlineStr">
        <is>
          <t>AP-142 利用者の申込一覧取得 GET /api/users/{id}/applications</t>
        </is>
      </c>
      <c r="C189" s="12" t="inlineStr">
        <is>
          <t>異常系</t>
        </is>
      </c>
      <c r="D189" s="12" t="inlineStr">
        <is>
          <t>一般利用者は実行できない</t>
        </is>
      </c>
      <c r="E189" s="12" t="inlineStr">
        <is>
          <t>-</t>
        </is>
      </c>
      <c r="F189" s="12" t="inlineStr">
        <is>
          <t>一般ユーザー（ID=1）で呼ぶ</t>
        </is>
      </c>
      <c r="G189" s="12" t="inlineStr">
        <is>
          <t>403「権限がありません」（E-A-002）</t>
        </is>
      </c>
      <c r="H189" s="12" t="inlineStr">
        <is>
          <t>-（参照のみ）</t>
        </is>
      </c>
      <c r="I189" s="12" t="inlineStr">
        <is>
          <t>-</t>
        </is>
      </c>
      <c r="J189" s="12" t="inlineStr">
        <is>
          <t>23_API基本設計書 3.2</t>
        </is>
      </c>
      <c r="K189" s="12" t="inlineStr">
        <is>
          <t>手動</t>
        </is>
      </c>
      <c r="L189" s="12" t="n"/>
      <c r="M189" s="12" t="inlineStr">
        <is>
          <t>OK</t>
        </is>
      </c>
      <c r="N189" s="23" t="n">
        <v>46304</v>
      </c>
      <c r="O189" s="12" t="inlineStr">
        <is>
          <t>佐々木</t>
        </is>
      </c>
      <c r="P189" s="12" t="n"/>
      <c r="Q189" s="15" t="inlineStr">
        <is>
          <t>45_テストエビデンス_API結合.xlsx／AP-142</t>
        </is>
      </c>
      <c r="R189" s="12" t="n"/>
      <c r="S189" s="12" t="n"/>
      <c r="T189" s="12" t="n"/>
    </row>
    <row r="190" ht="54" customHeight="1">
      <c r="A190" s="12" t="inlineStr">
        <is>
          <t>IT-AP142-E02</t>
        </is>
      </c>
      <c r="B190" s="12" t="inlineStr">
        <is>
          <t>AP-142 利用者の申込一覧取得 GET /api/users/{id}/applications</t>
        </is>
      </c>
      <c r="C190" s="12" t="inlineStr">
        <is>
          <t>異常系</t>
        </is>
      </c>
      <c r="D190" s="12" t="inlineStr">
        <is>
          <t>存在しない利用者の申込一覧は取得できない</t>
        </is>
      </c>
      <c r="E190" s="12" t="inlineStr">
        <is>
          <t>-</t>
        </is>
      </c>
      <c r="F190" s="12" t="inlineStr">
        <is>
          <t>管理者（ID=2）でGET /api/users/9999/applications</t>
        </is>
      </c>
      <c r="G190" s="12" t="inlineStr">
        <is>
          <t>404「利用者が見つかりません」（E-B-018）</t>
        </is>
      </c>
      <c r="H190" s="12" t="inlineStr">
        <is>
          <t>-（参照のみ）</t>
        </is>
      </c>
      <c r="I190" s="12" t="inlineStr">
        <is>
          <t>-</t>
        </is>
      </c>
      <c r="J190" s="12" t="inlineStr">
        <is>
          <t>AP-142</t>
        </is>
      </c>
      <c r="K190" s="12" t="inlineStr">
        <is>
          <t>手動</t>
        </is>
      </c>
      <c r="L190" s="12" t="n"/>
      <c r="M190" s="12" t="inlineStr">
        <is>
          <t>OK</t>
        </is>
      </c>
      <c r="N190" s="23" t="n">
        <v>46304</v>
      </c>
      <c r="O190" s="12" t="inlineStr">
        <is>
          <t>佐々木</t>
        </is>
      </c>
      <c r="P190" s="12" t="n"/>
      <c r="Q190" s="15" t="inlineStr">
        <is>
          <t>45_テストエビデンス_API結合.xlsx／AP-142</t>
        </is>
      </c>
      <c r="R190" s="12" t="n"/>
      <c r="S190" s="12" t="n"/>
      <c r="T190" s="12" t="n"/>
    </row>
    <row r="191" ht="54" customHeight="1">
      <c r="A191" s="12" t="inlineStr">
        <is>
          <t>IT-AP143-N01</t>
        </is>
      </c>
      <c r="B191" s="12" t="inlineStr">
        <is>
          <t>AP-143 利用者のお気に入り一覧取得 GET /api/users/{id}/favorites</t>
        </is>
      </c>
      <c r="C191" s="12" t="inlineStr">
        <is>
          <t>正常系</t>
        </is>
      </c>
      <c r="D191" s="12" t="inlineStr">
        <is>
          <t>指定した利用者のお気に入りが返る</t>
        </is>
      </c>
      <c r="E191" s="12" t="inlineStr">
        <is>
          <t>一般ユーザーがお気に入り登録を持つ</t>
        </is>
      </c>
      <c r="F191" s="12" t="inlineStr">
        <is>
          <t>管理者（ID=2）でGET /api/users/1/favorites</t>
        </is>
      </c>
      <c r="G191" s="12" t="inlineStr">
        <is>
          <t>200。一般ユーザーのお気に入りが返る</t>
        </is>
      </c>
      <c r="H191" s="12" t="inlineStr">
        <is>
          <t>-（参照のみ）</t>
        </is>
      </c>
      <c r="I191" s="12" t="inlineStr">
        <is>
          <t>-</t>
        </is>
      </c>
      <c r="J191" s="12" t="inlineStr">
        <is>
          <t>AP-143</t>
        </is>
      </c>
      <c r="K191" s="12" t="inlineStr">
        <is>
          <t>自動</t>
        </is>
      </c>
      <c r="L191" s="12" t="inlineStr">
        <is>
          <t>ap143_利用者のお気に入り一覧取得</t>
        </is>
      </c>
      <c r="M191" s="12" t="inlineStr">
        <is>
          <t>OK</t>
        </is>
      </c>
      <c r="N191" s="23" t="n">
        <v>46302</v>
      </c>
      <c r="O191" s="12" t="inlineStr">
        <is>
          <t>佐々木（Claude Code）</t>
        </is>
      </c>
      <c r="P191" s="12" t="inlineStr">
        <is>
          <t>自動テスト成功</t>
        </is>
      </c>
      <c r="Q191" s="12" t="inlineStr">
        <is>
          <t>evidence/IT/IT_API結合_結果一覧_20261007.txt</t>
        </is>
      </c>
      <c r="R191" s="12" t="n"/>
      <c r="S191" s="12" t="n"/>
      <c r="T191" s="12" t="n"/>
    </row>
    <row r="192" ht="54" customHeight="1">
      <c r="A192" s="12" t="inlineStr">
        <is>
          <t>IT-AP143-E01</t>
        </is>
      </c>
      <c r="B192" s="12" t="inlineStr">
        <is>
          <t>AP-143 利用者のお気に入り一覧取得 GET /api/users/{id}/favorites</t>
        </is>
      </c>
      <c r="C192" s="12" t="inlineStr">
        <is>
          <t>異常系</t>
        </is>
      </c>
      <c r="D192" s="12" t="inlineStr">
        <is>
          <t>一般利用者は実行できない</t>
        </is>
      </c>
      <c r="E192" s="12" t="inlineStr">
        <is>
          <t>-</t>
        </is>
      </c>
      <c r="F192" s="12" t="inlineStr">
        <is>
          <t>一般ユーザー（ID=1）で呼ぶ</t>
        </is>
      </c>
      <c r="G192" s="12" t="inlineStr">
        <is>
          <t>403「権限がありません」（E-A-002）</t>
        </is>
      </c>
      <c r="H192" s="12" t="inlineStr">
        <is>
          <t>-（参照のみ）</t>
        </is>
      </c>
      <c r="I192" s="12" t="inlineStr">
        <is>
          <t>-</t>
        </is>
      </c>
      <c r="J192" s="12" t="inlineStr">
        <is>
          <t>23_API基本設計書 3.2</t>
        </is>
      </c>
      <c r="K192" s="12" t="inlineStr">
        <is>
          <t>手動</t>
        </is>
      </c>
      <c r="L192" s="12" t="n"/>
      <c r="M192" s="12" t="inlineStr">
        <is>
          <t>OK</t>
        </is>
      </c>
      <c r="N192" s="23" t="n">
        <v>46304</v>
      </c>
      <c r="O192" s="12" t="inlineStr">
        <is>
          <t>佐々木</t>
        </is>
      </c>
      <c r="P192" s="12" t="n"/>
      <c r="Q192" s="15" t="inlineStr">
        <is>
          <t>45_テストエビデンス_API結合.xlsx／AP-143</t>
        </is>
      </c>
      <c r="R192" s="12" t="n"/>
      <c r="S192" s="12" t="n"/>
      <c r="T192" s="12" t="n"/>
    </row>
    <row r="193" ht="54" customHeight="1">
      <c r="A193" s="12" t="inlineStr">
        <is>
          <t>IT-AP143-E02</t>
        </is>
      </c>
      <c r="B193" s="12" t="inlineStr">
        <is>
          <t>AP-143 利用者のお気に入り一覧取得 GET /api/users/{id}/favorites</t>
        </is>
      </c>
      <c r="C193" s="12" t="inlineStr">
        <is>
          <t>異常系</t>
        </is>
      </c>
      <c r="D193" s="12" t="inlineStr">
        <is>
          <t>存在しない利用者のお気に入り一覧は取得できない</t>
        </is>
      </c>
      <c r="E193" s="12" t="inlineStr">
        <is>
          <t>-</t>
        </is>
      </c>
      <c r="F193" s="12" t="inlineStr">
        <is>
          <t>管理者（ID=2）でGET /api/users/9999/favorites</t>
        </is>
      </c>
      <c r="G193" s="12" t="inlineStr">
        <is>
          <t>404「利用者が見つかりません」（E-B-018）</t>
        </is>
      </c>
      <c r="H193" s="12" t="inlineStr">
        <is>
          <t>-（参照のみ）</t>
        </is>
      </c>
      <c r="I193" s="12" t="inlineStr">
        <is>
          <t>-</t>
        </is>
      </c>
      <c r="J193" s="12" t="inlineStr">
        <is>
          <t>AP-143</t>
        </is>
      </c>
      <c r="K193" s="12" t="inlineStr">
        <is>
          <t>手動</t>
        </is>
      </c>
      <c r="L193" s="12" t="n"/>
      <c r="M193" s="12" t="inlineStr">
        <is>
          <t>OK</t>
        </is>
      </c>
      <c r="N193" s="23" t="n">
        <v>46304</v>
      </c>
      <c r="O193" s="12" t="inlineStr">
        <is>
          <t>佐々木</t>
        </is>
      </c>
      <c r="P193" s="12" t="n"/>
      <c r="Q193" s="15" t="inlineStr">
        <is>
          <t>45_テストエビデンス_API結合.xlsx／AP-143</t>
        </is>
      </c>
      <c r="R193" s="12" t="n"/>
      <c r="S193" s="12" t="n"/>
      <c r="T193" s="12" t="n"/>
    </row>
    <row r="194" ht="54" customHeight="1">
      <c r="A194" s="12" t="inlineStr">
        <is>
          <t>IT-AP144-N01</t>
        </is>
      </c>
      <c r="B194" s="12" t="inlineStr">
        <is>
          <t>AP-144 利用者のコメント履歴取得 GET /api/users/{id}/comments</t>
        </is>
      </c>
      <c r="C194" s="12" t="inlineStr">
        <is>
          <t>正常系</t>
        </is>
      </c>
      <c r="D194" s="12" t="inlineStr">
        <is>
          <t>指定した利用者のコメントが、論理削除済みを含めて投稿日時の降順で返る</t>
        </is>
      </c>
      <c r="E194" s="12" t="inlineStr">
        <is>
          <t>一般ユーザーが有効なコメントと論理削除済みのコメントを持つ</t>
        </is>
      </c>
      <c r="F194" s="12" t="inlineStr">
        <is>
          <t>管理者（ID=2）でGET /api/users/1/comments</t>
        </is>
      </c>
      <c r="G194" s="12" t="inlineStr">
        <is>
          <t>200。2件がcreatedAtの降順で返る。論理削除済みはdeleted=true、body=「このコメントは削除されました」</t>
        </is>
      </c>
      <c r="H194" s="12" t="inlineStr">
        <is>
          <t>-（参照のみ）</t>
        </is>
      </c>
      <c r="I194" s="12" t="inlineStr">
        <is>
          <t>-</t>
        </is>
      </c>
      <c r="J194" s="12" t="inlineStr">
        <is>
          <t>AP-144</t>
        </is>
      </c>
      <c r="K194" s="12" t="inlineStr">
        <is>
          <t>自動</t>
        </is>
      </c>
      <c r="L194" s="12" t="inlineStr">
        <is>
          <t>ap144_利用者のコメント履歴取得</t>
        </is>
      </c>
      <c r="M194" s="12" t="inlineStr">
        <is>
          <t>OK</t>
        </is>
      </c>
      <c r="N194" s="23" t="n">
        <v>46302</v>
      </c>
      <c r="O194" s="12" t="inlineStr">
        <is>
          <t>佐々木（Claude Code）</t>
        </is>
      </c>
      <c r="P194" s="12" t="inlineStr">
        <is>
          <t>自動テスト成功</t>
        </is>
      </c>
      <c r="Q194" s="12" t="inlineStr">
        <is>
          <t>evidence/IT/IT_API結合_結果一覧_20261007.txt</t>
        </is>
      </c>
      <c r="R194" s="12" t="n"/>
      <c r="S194" s="12" t="n"/>
      <c r="T194" s="12" t="n"/>
    </row>
    <row r="195" ht="54" customHeight="1">
      <c r="A195" s="12" t="inlineStr">
        <is>
          <t>IT-AP144-E01</t>
        </is>
      </c>
      <c r="B195" s="12" t="inlineStr">
        <is>
          <t>AP-144 利用者のコメント履歴取得 GET /api/users/{id}/comments</t>
        </is>
      </c>
      <c r="C195" s="12" t="inlineStr">
        <is>
          <t>異常系</t>
        </is>
      </c>
      <c r="D195" s="12" t="inlineStr">
        <is>
          <t>一般利用者は実行できない</t>
        </is>
      </c>
      <c r="E195" s="12" t="inlineStr">
        <is>
          <t>-</t>
        </is>
      </c>
      <c r="F195" s="12" t="inlineStr">
        <is>
          <t>一般ユーザー（ID=1）で呼ぶ</t>
        </is>
      </c>
      <c r="G195" s="12" t="inlineStr">
        <is>
          <t>403「権限がありません」（E-A-002）</t>
        </is>
      </c>
      <c r="H195" s="12" t="inlineStr">
        <is>
          <t>-（参照のみ）</t>
        </is>
      </c>
      <c r="I195" s="12" t="inlineStr">
        <is>
          <t>-</t>
        </is>
      </c>
      <c r="J195" s="12" t="inlineStr">
        <is>
          <t>23_API基本設計書 3.2</t>
        </is>
      </c>
      <c r="K195" s="12" t="inlineStr">
        <is>
          <t>手動</t>
        </is>
      </c>
      <c r="L195" s="12" t="n"/>
      <c r="M195" s="12" t="inlineStr">
        <is>
          <t>OK</t>
        </is>
      </c>
      <c r="N195" s="23" t="n">
        <v>46304</v>
      </c>
      <c r="O195" s="12" t="inlineStr">
        <is>
          <t>佐々木</t>
        </is>
      </c>
      <c r="P195" s="12" t="n"/>
      <c r="Q195" s="15" t="inlineStr">
        <is>
          <t>45_テストエビデンス_API結合.xlsx／AP-144</t>
        </is>
      </c>
      <c r="R195" s="12" t="n"/>
      <c r="S195" s="12" t="n"/>
      <c r="T195" s="12" t="n"/>
    </row>
    <row r="196" ht="54" customHeight="1">
      <c r="A196" s="12" t="inlineStr">
        <is>
          <t>IT-AP144-E02</t>
        </is>
      </c>
      <c r="B196" s="12" t="inlineStr">
        <is>
          <t>AP-144 利用者のコメント履歴取得 GET /api/users/{id}/comments</t>
        </is>
      </c>
      <c r="C196" s="12" t="inlineStr">
        <is>
          <t>異常系</t>
        </is>
      </c>
      <c r="D196" s="12" t="inlineStr">
        <is>
          <t>存在しない利用者のコメント履歴は取得できない</t>
        </is>
      </c>
      <c r="E196" s="12" t="inlineStr">
        <is>
          <t>-</t>
        </is>
      </c>
      <c r="F196" s="12" t="inlineStr">
        <is>
          <t>管理者（ID=2）でGET /api/users/9999/comments</t>
        </is>
      </c>
      <c r="G196" s="12" t="inlineStr">
        <is>
          <t>404「利用者が見つかりません」（E-B-018）</t>
        </is>
      </c>
      <c r="H196" s="12" t="inlineStr">
        <is>
          <t>-（参照のみ）</t>
        </is>
      </c>
      <c r="I196" s="12" t="inlineStr">
        <is>
          <t>-</t>
        </is>
      </c>
      <c r="J196" s="12" t="inlineStr">
        <is>
          <t>AP-144</t>
        </is>
      </c>
      <c r="K196" s="12" t="inlineStr">
        <is>
          <t>手動</t>
        </is>
      </c>
      <c r="L196" s="12" t="n"/>
      <c r="M196" s="12" t="inlineStr">
        <is>
          <t>OK</t>
        </is>
      </c>
      <c r="N196" s="23" t="n">
        <v>46304</v>
      </c>
      <c r="O196" s="12" t="inlineStr">
        <is>
          <t>佐々木</t>
        </is>
      </c>
      <c r="P196" s="12" t="n"/>
      <c r="Q196" s="15" t="inlineStr">
        <is>
          <t>45_テストエビデンス_API結合.xlsx／AP-144</t>
        </is>
      </c>
      <c r="R196" s="12" t="n"/>
      <c r="S196" s="12" t="n"/>
      <c r="T196" s="12" t="n"/>
    </row>
    <row r="197" ht="27" customHeight="1">
      <c r="A197" s="12" t="inlineStr">
        <is>
          <t>IT-AP145-N01</t>
        </is>
      </c>
      <c r="B197" s="12" t="inlineStr">
        <is>
          <t>AP-145 管理者アカウント登録 POST /api/admins</t>
        </is>
      </c>
      <c r="C197" s="12" t="inlineStr">
        <is>
          <t>正常系</t>
        </is>
      </c>
      <c r="D197" s="12" t="inlineStr">
        <is>
          <t>管理者が管理者アカウントを登録できる</t>
        </is>
      </c>
      <c r="E197" s="12" t="inlineStr">
        <is>
          <t>未登録のメールアドレス</t>
        </is>
      </c>
      <c r="F197" s="12" t="inlineStr">
        <is>
          <t>管理者（ID=2）で名前・メールアドレス・パスワードTest1234を送る</t>
        </is>
      </c>
      <c r="G197" s="12" t="inlineStr">
        <is>
          <t>201、roleCode=2、roleName=「管理者」</t>
        </is>
      </c>
      <c r="H197" s="12" t="inlineStr">
        <is>
          <t>usersに1行追加される。role_code=2。password_hashはハッシュ値</t>
        </is>
      </c>
      <c r="I197" s="12" t="inlineStr">
        <is>
          <t>-</t>
        </is>
      </c>
      <c r="J197" s="12" t="inlineStr">
        <is>
          <t>AP-145</t>
        </is>
      </c>
      <c r="K197" s="12" t="inlineStr">
        <is>
          <t>自動</t>
        </is>
      </c>
      <c r="L197" s="12" t="inlineStr">
        <is>
          <t>ap145_管理者は管理者アカウントを登録できる</t>
        </is>
      </c>
      <c r="M197" s="12" t="inlineStr">
        <is>
          <t>OK</t>
        </is>
      </c>
      <c r="N197" s="23" t="n">
        <v>46302</v>
      </c>
      <c r="O197" s="12" t="inlineStr">
        <is>
          <t>佐々木（Claude Code）</t>
        </is>
      </c>
      <c r="P197" s="12" t="inlineStr">
        <is>
          <t>自動テスト成功</t>
        </is>
      </c>
      <c r="Q197" s="12" t="inlineStr">
        <is>
          <t>evidence/IT/IT_API結合_結果一覧_20261007.txt</t>
        </is>
      </c>
      <c r="R197" s="12" t="n"/>
      <c r="S197" s="12" t="n"/>
      <c r="T197" s="12" t="n"/>
    </row>
    <row r="198" ht="27" customHeight="1">
      <c r="A198" s="12" t="inlineStr">
        <is>
          <t>IT-AP145-N02</t>
        </is>
      </c>
      <c r="B198" s="12" t="inlineStr">
        <is>
          <t>AP-145 管理者アカウント登録 POST /api/admins</t>
        </is>
      </c>
      <c r="C198" s="12" t="inlineStr">
        <is>
          <t>正常系</t>
        </is>
      </c>
      <c r="D198" s="12" t="inlineStr">
        <is>
          <t>メールアドレスは正規化して保存される</t>
        </is>
      </c>
      <c r="E198" s="12" t="inlineStr">
        <is>
          <t>未登録のメールアドレス</t>
        </is>
      </c>
      <c r="F198" s="12" t="inlineStr">
        <is>
          <t>管理者（ID=2）でメールアドレスを" Space-Admin@Example.com "として登録する</t>
        </is>
      </c>
      <c r="G198" s="12" t="inlineStr">
        <is>
          <t>201、email=space-admin@example.com</t>
        </is>
      </c>
      <c r="H198" s="12" t="inlineStr">
        <is>
          <t>users.emailがspace-admin@example.com</t>
        </is>
      </c>
      <c r="I198" s="12" t="inlineStr">
        <is>
          <t>-</t>
        </is>
      </c>
      <c r="J198" s="12" t="inlineStr">
        <is>
          <t>24_方式設計書 4.3</t>
        </is>
      </c>
      <c r="K198" s="12" t="inlineStr">
        <is>
          <t>自動</t>
        </is>
      </c>
      <c r="L198" s="12" t="inlineStr">
        <is>
          <t>ap145_前後に空白のあるメールアドレスでも管理者アカウントを登録できる</t>
        </is>
      </c>
      <c r="M198" s="12" t="inlineStr">
        <is>
          <t>OK</t>
        </is>
      </c>
      <c r="N198" s="23" t="n">
        <v>46302</v>
      </c>
      <c r="O198" s="12" t="inlineStr">
        <is>
          <t>佐々木（Claude Code）</t>
        </is>
      </c>
      <c r="P198" s="12" t="inlineStr">
        <is>
          <t>自動テスト成功</t>
        </is>
      </c>
      <c r="Q198" s="12" t="inlineStr">
        <is>
          <t>evidence/IT/IT_API結合_結果一覧_20261007.txt</t>
        </is>
      </c>
      <c r="R198" s="12" t="n"/>
      <c r="S198" s="12" t="n"/>
      <c r="T198" s="12" t="n"/>
    </row>
    <row r="199" ht="27" customHeight="1">
      <c r="A199" s="12" t="inlineStr">
        <is>
          <t>IT-AP145-E01</t>
        </is>
      </c>
      <c r="B199" s="12" t="inlineStr">
        <is>
          <t>AP-145 管理者アカウント登録 POST /api/admins</t>
        </is>
      </c>
      <c r="C199" s="12" t="inlineStr">
        <is>
          <t>異常系</t>
        </is>
      </c>
      <c r="D199" s="12" t="inlineStr">
        <is>
          <t>一般利用者は実行できない</t>
        </is>
      </c>
      <c r="E199" s="12" t="inlineStr">
        <is>
          <t>-</t>
        </is>
      </c>
      <c r="F199" s="12" t="inlineStr">
        <is>
          <t>一般ユーザー（ID=1）で呼ぶ</t>
        </is>
      </c>
      <c r="G199" s="12" t="inlineStr">
        <is>
          <t>403「権限がありません」（E-A-002）</t>
        </is>
      </c>
      <c r="H199" s="12" t="inlineStr">
        <is>
          <t>usersの行数は変わらない</t>
        </is>
      </c>
      <c r="I199" s="12" t="inlineStr">
        <is>
          <t>-</t>
        </is>
      </c>
      <c r="J199" s="12" t="inlineStr">
        <is>
          <t>23_API基本設計書 3.2</t>
        </is>
      </c>
      <c r="K199" s="12" t="inlineStr">
        <is>
          <t>自動</t>
        </is>
      </c>
      <c r="L199" s="12" t="inlineStr">
        <is>
          <t>ap145_一般ユーザーは管理者アカウントを登録できない</t>
        </is>
      </c>
      <c r="M199" s="12" t="inlineStr">
        <is>
          <t>OK</t>
        </is>
      </c>
      <c r="N199" s="23" t="n">
        <v>46302</v>
      </c>
      <c r="O199" s="12" t="inlineStr">
        <is>
          <t>佐々木（Claude Code）</t>
        </is>
      </c>
      <c r="P199" s="12" t="inlineStr">
        <is>
          <t>自動テスト成功</t>
        </is>
      </c>
      <c r="Q199" s="12" t="inlineStr">
        <is>
          <t>evidence/IT/IT_API結合_結果一覧_20261007.txt</t>
        </is>
      </c>
      <c r="R199" s="12" t="n"/>
      <c r="S199" s="12" t="n"/>
      <c r="T199" s="12" t="n"/>
    </row>
    <row r="200" ht="27" customHeight="1">
      <c r="A200" s="12" t="inlineStr">
        <is>
          <t>IT-AP145-E02</t>
        </is>
      </c>
      <c r="B200" s="12" t="inlineStr">
        <is>
          <t>AP-145 管理者アカウント登録 POST /api/admins</t>
        </is>
      </c>
      <c r="C200" s="12" t="inlineStr">
        <is>
          <t>異常系</t>
        </is>
      </c>
      <c r="D200" s="12" t="inlineStr">
        <is>
          <t>登録済みのメールアドレスは登録できない（重複をそのまま伝える文言）</t>
        </is>
      </c>
      <c r="E200" s="12" t="inlineStr">
        <is>
          <t>TD-00</t>
        </is>
      </c>
      <c r="F200" s="12" t="inlineStr">
        <is>
          <t>管理者（ID=2）でメールアドレスをgeneral@example.comとして登録する</t>
        </is>
      </c>
      <c r="G200" s="12" t="inlineStr">
        <is>
          <t>400「このメールアドレスは既に登録されています」（E-B-015）</t>
        </is>
      </c>
      <c r="H200" s="12" t="inlineStr">
        <is>
          <t>usersの行数は変わらない</t>
        </is>
      </c>
      <c r="I200" s="12" t="inlineStr">
        <is>
          <t>【操作の前と後に実行し、結果が同じことを確認する】
SELECT * FROM users ORDER BY id;</t>
        </is>
      </c>
      <c r="J200" s="12" t="inlineStr">
        <is>
          <t>R-15</t>
        </is>
      </c>
      <c r="K200" s="12" t="inlineStr">
        <is>
          <t>手動</t>
        </is>
      </c>
      <c r="L200" s="12" t="n"/>
      <c r="M200" s="12" t="inlineStr">
        <is>
          <t>OK</t>
        </is>
      </c>
      <c r="N200" s="23" t="n">
        <v>46304</v>
      </c>
      <c r="O200" s="12" t="inlineStr">
        <is>
          <t>佐々木</t>
        </is>
      </c>
      <c r="P200" s="12" t="n"/>
      <c r="Q200" s="15" t="inlineStr">
        <is>
          <t>45_テストエビデンス_API結合.xlsx／AP-145</t>
        </is>
      </c>
      <c r="R200" s="12" t="n"/>
      <c r="S200" s="12" t="n"/>
      <c r="T200" s="12" t="n"/>
    </row>
    <row r="201" ht="40.5" customHeight="1">
      <c r="A201" s="12" t="inlineStr">
        <is>
          <t>IT-AP145-E03</t>
        </is>
      </c>
      <c r="B201" s="12" t="inlineStr">
        <is>
          <t>AP-145 管理者アカウント登録 POST /api/admins</t>
        </is>
      </c>
      <c r="C201" s="12" t="inlineStr">
        <is>
          <t>異常系</t>
        </is>
      </c>
      <c r="D201" s="12" t="inlineStr">
        <is>
          <t>パスワードが条件を満たさないと入力エラーになる</t>
        </is>
      </c>
      <c r="E201" s="12" t="inlineStr">
        <is>
          <t>未登録のメールアドレス</t>
        </is>
      </c>
      <c r="F201" s="12" t="inlineStr">
        <is>
          <t>管理者（ID=2）でパスワードをShort1にして登録する</t>
        </is>
      </c>
      <c r="G201" s="12" t="inlineStr">
        <is>
          <t>400、errors[]にpassword「パスワードは8文字以上72文字以下で、英字と数字をそれぞれ1文字以上含めてください」（E-V-025）</t>
        </is>
      </c>
      <c r="H201" s="12" t="inlineStr">
        <is>
          <t>usersの行数は変わらない</t>
        </is>
      </c>
      <c r="I201" s="12" t="inlineStr">
        <is>
          <t>【操作の前と後に実行し、結果が同じことを確認する】
SELECT * FROM users ORDER BY id;</t>
        </is>
      </c>
      <c r="J201" s="12" t="inlineStr">
        <is>
          <t>R-21</t>
        </is>
      </c>
      <c r="K201" s="12" t="inlineStr">
        <is>
          <t>手動</t>
        </is>
      </c>
      <c r="L201" s="12" t="n"/>
      <c r="M201" s="12" t="inlineStr">
        <is>
          <t>OK</t>
        </is>
      </c>
      <c r="N201" s="23" t="n">
        <v>46304</v>
      </c>
      <c r="O201" s="12" t="inlineStr">
        <is>
          <t>佐々木</t>
        </is>
      </c>
      <c r="P201" s="12" t="n"/>
      <c r="Q201" s="15" t="inlineStr">
        <is>
          <t>45_テストエビデンス_API結合.xlsx／AP-145</t>
        </is>
      </c>
      <c r="R201" s="12" t="n"/>
      <c r="S201" s="12" t="n"/>
      <c r="T201" s="12" t="n"/>
    </row>
    <row r="202" ht="40.5" customHeight="1">
      <c r="A202" s="12" t="inlineStr">
        <is>
          <t>IT-AP146-N01</t>
        </is>
      </c>
      <c r="B202" s="12" t="inlineStr">
        <is>
          <t>AP-146 管理者権限の降格 PUT /api/users/{id}/demote</t>
        </is>
      </c>
      <c r="C202" s="12" t="inlineStr">
        <is>
          <t>正常系</t>
        </is>
      </c>
      <c r="D202" s="12" t="inlineStr">
        <is>
          <t>管理者が2人以上いれば、管理者を一般利用者に降格できる</t>
        </is>
      </c>
      <c r="E202" s="12" t="inlineStr">
        <is>
          <t>管理者が2人いる</t>
        </is>
      </c>
      <c r="F202" s="12" t="inlineStr">
        <is>
          <t>管理者（ID=2）でもう1人の管理者のIDを指定する</t>
        </is>
      </c>
      <c r="G202" s="12" t="inlineStr">
        <is>
          <t>200、roleCode=1、roleName=「一般利用者」</t>
        </is>
      </c>
      <c r="H202" s="12" t="inlineStr">
        <is>
          <t>対象のusers.role_codeが1になる</t>
        </is>
      </c>
      <c r="I202" s="12" t="inlineStr">
        <is>
          <t>-</t>
        </is>
      </c>
      <c r="J202" s="12" t="inlineStr">
        <is>
          <t>AP-146</t>
        </is>
      </c>
      <c r="K202" s="12" t="inlineStr">
        <is>
          <t>自動</t>
        </is>
      </c>
      <c r="L202" s="12" t="inlineStr">
        <is>
          <t>ap146_管理者は他の管理者を降格できる</t>
        </is>
      </c>
      <c r="M202" s="12" t="inlineStr">
        <is>
          <t>OK</t>
        </is>
      </c>
      <c r="N202" s="23" t="n">
        <v>46302</v>
      </c>
      <c r="O202" s="12" t="inlineStr">
        <is>
          <t>佐々木（Claude Code）</t>
        </is>
      </c>
      <c r="P202" s="12" t="inlineStr">
        <is>
          <t>自動テスト成功</t>
        </is>
      </c>
      <c r="Q202" s="12" t="inlineStr">
        <is>
          <t>evidence/IT/IT_API結合_結果一覧_20261007.txt</t>
        </is>
      </c>
      <c r="R202" s="12" t="n"/>
      <c r="S202" s="12" t="n"/>
      <c r="T202" s="12" t="n"/>
    </row>
    <row r="203" ht="40.5" customHeight="1">
      <c r="A203" s="12" t="inlineStr">
        <is>
          <t>IT-AP146-E01</t>
        </is>
      </c>
      <c r="B203" s="12" t="inlineStr">
        <is>
          <t>AP-146 管理者権限の降格 PUT /api/users/{id}/demote</t>
        </is>
      </c>
      <c r="C203" s="12" t="inlineStr">
        <is>
          <t>異常系</t>
        </is>
      </c>
      <c r="D203" s="12" t="inlineStr">
        <is>
          <t>一般利用者は実行できない</t>
        </is>
      </c>
      <c r="E203" s="12" t="inlineStr">
        <is>
          <t>-</t>
        </is>
      </c>
      <c r="F203" s="12" t="inlineStr">
        <is>
          <t>一般ユーザー（ID=1）で呼ぶ</t>
        </is>
      </c>
      <c r="G203" s="12" t="inlineStr">
        <is>
          <t>403「権限がありません」（E-A-002）</t>
        </is>
      </c>
      <c r="H203" s="12" t="inlineStr">
        <is>
          <t>usersは変更されない</t>
        </is>
      </c>
      <c r="I203" s="12" t="inlineStr">
        <is>
          <t>-</t>
        </is>
      </c>
      <c r="J203" s="12" t="inlineStr">
        <is>
          <t>23_API基本設計書 3.2</t>
        </is>
      </c>
      <c r="K203" s="12" t="inlineStr">
        <is>
          <t>自動</t>
        </is>
      </c>
      <c r="L203" s="12" t="inlineStr">
        <is>
          <t>ap146_一般ユーザーは降格を実行できない</t>
        </is>
      </c>
      <c r="M203" s="12" t="inlineStr">
        <is>
          <t>OK</t>
        </is>
      </c>
      <c r="N203" s="23" t="n">
        <v>46302</v>
      </c>
      <c r="O203" s="12" t="inlineStr">
        <is>
          <t>佐々木（Claude Code）</t>
        </is>
      </c>
      <c r="P203" s="12" t="inlineStr">
        <is>
          <t>自動テスト成功</t>
        </is>
      </c>
      <c r="Q203" s="12" t="inlineStr">
        <is>
          <t>evidence/IT/IT_API結合_結果一覧_20261007.txt</t>
        </is>
      </c>
      <c r="R203" s="12" t="n"/>
      <c r="S203" s="12" t="n"/>
      <c r="T203" s="12" t="n"/>
    </row>
    <row r="204" ht="40.5" customHeight="1">
      <c r="A204" s="12" t="inlineStr">
        <is>
          <t>IT-AP146-E02</t>
        </is>
      </c>
      <c r="B204" s="12" t="inlineStr">
        <is>
          <t>AP-146 管理者権限の降格 PUT /api/users/{id}/demote</t>
        </is>
      </c>
      <c r="C204" s="12" t="inlineStr">
        <is>
          <t>異常系</t>
        </is>
      </c>
      <c r="D204" s="12" t="inlineStr">
        <is>
          <t>最後の1人の管理者は降格できない</t>
        </is>
      </c>
      <c r="E204" s="12" t="inlineStr">
        <is>
          <t>管理者が1人だけ（TD-00）</t>
        </is>
      </c>
      <c r="F204" s="12" t="inlineStr">
        <is>
          <t>管理者（ID=2）でPUT /api/users/2/demote</t>
        </is>
      </c>
      <c r="G204" s="12" t="inlineStr">
        <is>
          <t>400「最後の管理者は降格できません」（E-B-020）</t>
        </is>
      </c>
      <c r="H204" s="12" t="inlineStr">
        <is>
          <t>ID=2のusers.role_codeは2のまま</t>
        </is>
      </c>
      <c r="I204" s="12" t="inlineStr">
        <is>
          <t>-</t>
        </is>
      </c>
      <c r="J204" s="12" t="inlineStr">
        <is>
          <t>R-17</t>
        </is>
      </c>
      <c r="K204" s="12" t="inlineStr">
        <is>
          <t>自動</t>
        </is>
      </c>
      <c r="L204" s="12" t="inlineStr">
        <is>
          <t>ap146_最後の管理者は降格できない</t>
        </is>
      </c>
      <c r="M204" s="12" t="inlineStr">
        <is>
          <t>OK</t>
        </is>
      </c>
      <c r="N204" s="23" t="n">
        <v>46302</v>
      </c>
      <c r="O204" s="12" t="inlineStr">
        <is>
          <t>佐々木（Claude Code）</t>
        </is>
      </c>
      <c r="P204" s="12" t="inlineStr">
        <is>
          <t>自動テスト成功</t>
        </is>
      </c>
      <c r="Q204" s="12" t="inlineStr">
        <is>
          <t>evidence/IT/IT_API結合_結果一覧_20261007.txt</t>
        </is>
      </c>
      <c r="R204" s="12" t="n"/>
      <c r="S204" s="12" t="n"/>
      <c r="T204" s="12" t="n"/>
    </row>
    <row r="205" ht="40.5" customHeight="1">
      <c r="A205" s="12" t="inlineStr">
        <is>
          <t>IT-AP146-E03</t>
        </is>
      </c>
      <c r="B205" s="12" t="inlineStr">
        <is>
          <t>AP-146 管理者権限の降格 PUT /api/users/{id}/demote</t>
        </is>
      </c>
      <c r="C205" s="12" t="inlineStr">
        <is>
          <t>異常系</t>
        </is>
      </c>
      <c r="D205" s="12" t="inlineStr">
        <is>
          <t>一般利用者は降格の対象にできない</t>
        </is>
      </c>
      <c r="E205" s="12" t="inlineStr">
        <is>
          <t>TD-00</t>
        </is>
      </c>
      <c r="F205" s="12" t="inlineStr">
        <is>
          <t>管理者（ID=2）でPUT /api/users/1/demote</t>
        </is>
      </c>
      <c r="G205" s="12" t="inlineStr">
        <is>
          <t>400「既に一般利用者です」（E-B-019）</t>
        </is>
      </c>
      <c r="H205" s="12" t="inlineStr">
        <is>
          <t>ID=1のusers.role_codeは1のまま</t>
        </is>
      </c>
      <c r="I205" s="12" t="inlineStr">
        <is>
          <t>-</t>
        </is>
      </c>
      <c r="J205" s="12" t="inlineStr">
        <is>
          <t>R-16</t>
        </is>
      </c>
      <c r="K205" s="12" t="inlineStr">
        <is>
          <t>自動</t>
        </is>
      </c>
      <c r="L205" s="12" t="inlineStr">
        <is>
          <t>ap146_既に一般利用者の対象は降格できない</t>
        </is>
      </c>
      <c r="M205" s="12" t="inlineStr">
        <is>
          <t>OK</t>
        </is>
      </c>
      <c r="N205" s="23" t="n">
        <v>46302</v>
      </c>
      <c r="O205" s="12" t="inlineStr">
        <is>
          <t>佐々木（Claude Code）</t>
        </is>
      </c>
      <c r="P205" s="12" t="inlineStr">
        <is>
          <t>自動テスト成功</t>
        </is>
      </c>
      <c r="Q205" s="12" t="inlineStr">
        <is>
          <t>evidence/IT/IT_API結合_結果一覧_20261007.txt</t>
        </is>
      </c>
      <c r="R205" s="12" t="n"/>
      <c r="S205" s="12" t="n"/>
      <c r="T205" s="12" t="n"/>
    </row>
    <row r="206" ht="40.5" customHeight="1">
      <c r="A206" s="12" t="inlineStr">
        <is>
          <t>IT-AP146-E04</t>
        </is>
      </c>
      <c r="B206" s="12" t="inlineStr">
        <is>
          <t>AP-146 管理者権限の降格 PUT /api/users/{id}/demote</t>
        </is>
      </c>
      <c r="C206" s="12" t="inlineStr">
        <is>
          <t>異常系</t>
        </is>
      </c>
      <c r="D206" s="12" t="inlineStr">
        <is>
          <t>存在しない利用者は降格できない</t>
        </is>
      </c>
      <c r="E206" s="12" t="inlineStr">
        <is>
          <t>-</t>
        </is>
      </c>
      <c r="F206" s="12" t="inlineStr">
        <is>
          <t>管理者（ID=2）でPUT /api/users/9999/demote</t>
        </is>
      </c>
      <c r="G206" s="12" t="inlineStr">
        <is>
          <t>404「利用者が見つかりません」（E-B-018）</t>
        </is>
      </c>
      <c r="H206" s="12" t="inlineStr">
        <is>
          <t>usersは変更されない</t>
        </is>
      </c>
      <c r="I206" s="12" t="inlineStr">
        <is>
          <t>-</t>
        </is>
      </c>
      <c r="J206" s="12" t="inlineStr">
        <is>
          <t>AP-146</t>
        </is>
      </c>
      <c r="K206" s="12" t="inlineStr">
        <is>
          <t>自動</t>
        </is>
      </c>
      <c r="L206" s="12" t="inlineStr">
        <is>
          <t>ap146_対象の利用者が存在しない場合は404</t>
        </is>
      </c>
      <c r="M206" s="12" t="inlineStr">
        <is>
          <t>OK</t>
        </is>
      </c>
      <c r="N206" s="23" t="n">
        <v>46302</v>
      </c>
      <c r="O206" s="12" t="inlineStr">
        <is>
          <t>佐々木（Claude Code）</t>
        </is>
      </c>
      <c r="P206" s="12" t="inlineStr">
        <is>
          <t>自動テスト成功</t>
        </is>
      </c>
      <c r="Q206" s="12" t="inlineStr">
        <is>
          <t>evidence/IT/IT_API結合_結果一覧_20261007.txt</t>
        </is>
      </c>
      <c r="R206" s="12" t="n"/>
      <c r="S206" s="12" t="n"/>
      <c r="T206" s="12" t="n"/>
    </row>
    <row r="207" ht="27" customHeight="1">
      <c r="A207" s="12" t="inlineStr">
        <is>
          <t>IT-AP150-N01</t>
        </is>
      </c>
      <c r="B207" s="12" t="inlineStr">
        <is>
          <t>AP-150 全コメント一覧取得 GET /api/comments</t>
        </is>
      </c>
      <c r="C207" s="12" t="inlineStr">
        <is>
          <t>正常系</t>
        </is>
      </c>
      <c r="D207" s="12" t="inlineStr">
        <is>
          <t>全イベントの有効なコメントが投稿日時の降順で返る</t>
        </is>
      </c>
      <c r="E207" s="12" t="inlineStr">
        <is>
          <t>複数のイベントに有効なコメントと、論理削除済みのコメントがある</t>
        </is>
      </c>
      <c r="F207" s="12" t="inlineStr">
        <is>
          <t>管理者（ID=2）で呼ぶ</t>
        </is>
      </c>
      <c r="G207" s="12" t="inlineStr">
        <is>
          <t>200。論理削除済みを除くコメントがcreatedAtの降順で返り、各要素にeventName・userNameがある</t>
        </is>
      </c>
      <c r="H207" s="12" t="inlineStr">
        <is>
          <t>-（参照のみ）</t>
        </is>
      </c>
      <c r="I207" s="12" t="inlineStr">
        <is>
          <t>-</t>
        </is>
      </c>
      <c r="J207" s="12" t="inlineStr">
        <is>
          <t>AP-150</t>
        </is>
      </c>
      <c r="K207" s="12" t="inlineStr">
        <is>
          <t>自動</t>
        </is>
      </c>
      <c r="L207" s="12" t="inlineStr">
        <is>
          <t>ap150_全コメント一覧取得は有効なコメントのみ</t>
        </is>
      </c>
      <c r="M207" s="12" t="inlineStr">
        <is>
          <t>OK</t>
        </is>
      </c>
      <c r="N207" s="23" t="n">
        <v>46302</v>
      </c>
      <c r="O207" s="12" t="inlineStr">
        <is>
          <t>佐々木（Claude Code）</t>
        </is>
      </c>
      <c r="P207" s="12" t="inlineStr">
        <is>
          <t>自動テスト成功</t>
        </is>
      </c>
      <c r="Q207" s="12" t="inlineStr">
        <is>
          <t>evidence/IT/IT_API結合_結果一覧_20261007.txt</t>
        </is>
      </c>
      <c r="R207" s="12" t="n"/>
      <c r="S207" s="12" t="n"/>
      <c r="T207" s="12" t="n"/>
    </row>
    <row r="208" ht="27" customHeight="1">
      <c r="A208" s="12" t="inlineStr">
        <is>
          <t>IT-AP150-E01</t>
        </is>
      </c>
      <c r="B208" s="12" t="inlineStr">
        <is>
          <t>AP-150 全コメント一覧取得 GET /api/comments</t>
        </is>
      </c>
      <c r="C208" s="12" t="inlineStr">
        <is>
          <t>異常系</t>
        </is>
      </c>
      <c r="D208" s="12" t="inlineStr">
        <is>
          <t>一般利用者は実行できない</t>
        </is>
      </c>
      <c r="E208" s="12" t="inlineStr">
        <is>
          <t>-</t>
        </is>
      </c>
      <c r="F208" s="12" t="inlineStr">
        <is>
          <t>一般ユーザー（ID=1）で呼ぶ</t>
        </is>
      </c>
      <c r="G208" s="12" t="inlineStr">
        <is>
          <t>403「権限がありません」（E-A-002）</t>
        </is>
      </c>
      <c r="H208" s="12" t="inlineStr">
        <is>
          <t>-（参照のみ）</t>
        </is>
      </c>
      <c r="I208" s="12" t="inlineStr">
        <is>
          <t>-</t>
        </is>
      </c>
      <c r="J208" s="12" t="inlineStr">
        <is>
          <t>23_API基本設計書 3.2</t>
        </is>
      </c>
      <c r="K208" s="12" t="inlineStr">
        <is>
          <t>手動</t>
        </is>
      </c>
      <c r="L208" s="12" t="n"/>
      <c r="M208" s="12" t="inlineStr">
        <is>
          <t>OK</t>
        </is>
      </c>
      <c r="N208" s="23" t="n">
        <v>46304</v>
      </c>
      <c r="O208" s="12" t="inlineStr">
        <is>
          <t>佐々木</t>
        </is>
      </c>
      <c r="P208" s="12" t="n"/>
      <c r="Q208" s="15" t="inlineStr">
        <is>
          <t>45_テストエビデンス_API結合.xlsx／AP-150</t>
        </is>
      </c>
      <c r="R208" s="12" t="n"/>
      <c r="S208" s="12" t="n"/>
      <c r="T208" s="12" t="n"/>
    </row>
    <row r="209" ht="27" customHeight="1">
      <c r="A209" s="12" t="inlineStr">
        <is>
          <t>IT-AP900-N01</t>
        </is>
      </c>
      <c r="B209" s="12" t="inlineStr">
        <is>
          <t>AP-900 稼働確認 GET /api/ping</t>
        </is>
      </c>
      <c r="C209" s="12" t="inlineStr">
        <is>
          <t>正常系</t>
        </is>
      </c>
      <c r="D209" s="12" t="inlineStr">
        <is>
          <t>稼働確認の応答が返る</t>
        </is>
      </c>
      <c r="E209" s="12" t="inlineStr">
        <is>
          <t>-</t>
        </is>
      </c>
      <c r="F209" s="12" t="inlineStr">
        <is>
          <t>X-User-Idなしで呼ぶ</t>
        </is>
      </c>
      <c r="G209" s="12" t="inlineStr">
        <is>
          <t>200、本文がpong</t>
        </is>
      </c>
      <c r="H209" s="12" t="inlineStr">
        <is>
          <t>-（参照のみ）</t>
        </is>
      </c>
      <c r="I209" s="12" t="inlineStr">
        <is>
          <t>-</t>
        </is>
      </c>
      <c r="J209" s="12" t="inlineStr">
        <is>
          <t>AP-900</t>
        </is>
      </c>
      <c r="K209" s="12" t="inlineStr">
        <is>
          <t>手動</t>
        </is>
      </c>
      <c r="L209" s="12" t="n"/>
      <c r="M209" s="12" t="inlineStr">
        <is>
          <t>OK</t>
        </is>
      </c>
      <c r="N209" s="23" t="n">
        <v>46304</v>
      </c>
      <c r="O209" s="12" t="inlineStr">
        <is>
          <t>佐々木</t>
        </is>
      </c>
      <c r="P209" s="12" t="n"/>
      <c r="Q209" s="15" t="inlineStr">
        <is>
          <t>45_テストエビデンス_API結合.xlsx／AP-900</t>
        </is>
      </c>
      <c r="R209" s="12" t="n"/>
      <c r="S209" s="12" t="n"/>
      <c r="T209" s="12" t="n"/>
    </row>
    <row r="210" ht="27" customHeight="1">
      <c r="A210" s="12" t="inlineStr">
        <is>
          <t>IT-CMN-E08</t>
        </is>
      </c>
      <c r="B210" s="12" t="inlineStr">
        <is>
          <t>認証・リクエスト形式</t>
        </is>
      </c>
      <c r="C210" s="12" t="inlineStr">
        <is>
          <t>異常系</t>
        </is>
      </c>
      <c r="D210" s="12" t="inlineStr">
        <is>
          <t>存在しないURLはリクエスト形式エラー（404）になる</t>
        </is>
      </c>
      <c r="E210" s="12" t="inlineStr">
        <is>
          <t>-</t>
        </is>
      </c>
      <c r="F210" s="12" t="inlineStr">
        <is>
          <t>一般ユーザー（ID=1）でGET /api/nothing</t>
        </is>
      </c>
      <c r="G210" s="12" t="inlineStr">
        <is>
          <t>404「指定されたURLは存在しません」（E-V-028）。500にはならない</t>
        </is>
      </c>
      <c r="H210" s="12" t="inlineStr">
        <is>
          <t>-（参照のみ）</t>
        </is>
      </c>
      <c r="I210" s="12" t="inlineStr">
        <is>
          <t>-</t>
        </is>
      </c>
      <c r="J210" s="12" t="inlineStr">
        <is>
          <t>33_共通詳細設計書 3.1</t>
        </is>
      </c>
      <c r="K210" s="12" t="inlineStr">
        <is>
          <t>自動</t>
        </is>
      </c>
      <c r="L210" s="12" t="inlineStr">
        <is>
          <t>cmn_存在しないURLは404になる</t>
        </is>
      </c>
      <c r="M210" s="12" t="inlineStr">
        <is>
          <t>OK</t>
        </is>
      </c>
      <c r="N210" s="23" t="n">
        <v>46304</v>
      </c>
      <c r="O210" s="12" t="inlineStr">
        <is>
          <t>佐々木（Claude Code）</t>
        </is>
      </c>
      <c r="P210" s="12" t="inlineStr">
        <is>
          <t>自動テスト成功（Issue #17 の修正で追加）</t>
        </is>
      </c>
      <c r="Q210" s="12" t="inlineStr">
        <is>
          <t>evidence/IT/IT_API結合_結果一覧_20261009.txt</t>
        </is>
      </c>
      <c r="R210" s="12" t="n"/>
      <c r="S210" s="12" t="n"/>
      <c r="T210" s="12" t="n"/>
    </row>
    <row r="211" ht="27" customHeight="1">
      <c r="A211" s="12" t="inlineStr">
        <is>
          <t>IT-CMN-E09</t>
        </is>
      </c>
      <c r="B211" s="12" t="inlineStr">
        <is>
          <t>認証・リクエスト形式</t>
        </is>
      </c>
      <c r="C211" s="12" t="inlineStr">
        <is>
          <t>異常系</t>
        </is>
      </c>
      <c r="D211" s="12" t="inlineStr">
        <is>
          <t>対応していないメソッドはリクエスト形式エラー（405）になる</t>
        </is>
      </c>
      <c r="E211" s="12" t="inlineStr">
        <is>
          <t>-</t>
        </is>
      </c>
      <c r="F211" s="12" t="inlineStr">
        <is>
          <t>POST /api/ping（稼働確認はGETだけに対応する）</t>
        </is>
      </c>
      <c r="G211" s="12" t="inlineStr">
        <is>
          <t>405「この操作には対応していません」（E-V-029）。500にはならない</t>
        </is>
      </c>
      <c r="H211" s="12" t="inlineStr">
        <is>
          <t>-（参照のみ）</t>
        </is>
      </c>
      <c r="I211" s="12" t="inlineStr">
        <is>
          <t>-</t>
        </is>
      </c>
      <c r="J211" s="12" t="inlineStr">
        <is>
          <t>33_共通詳細設計書 3.1</t>
        </is>
      </c>
      <c r="K211" s="12" t="inlineStr">
        <is>
          <t>自動</t>
        </is>
      </c>
      <c r="L211" s="12" t="inlineStr">
        <is>
          <t>cmn_対応していないメソッドは405になる</t>
        </is>
      </c>
      <c r="M211" s="12" t="inlineStr">
        <is>
          <t>OK</t>
        </is>
      </c>
      <c r="N211" s="23" t="n">
        <v>46304</v>
      </c>
      <c r="O211" s="12" t="inlineStr">
        <is>
          <t>佐々木（Claude Code）</t>
        </is>
      </c>
      <c r="P211" s="12" t="inlineStr">
        <is>
          <t>自動テスト成功（Issue #17 の修正で追加）</t>
        </is>
      </c>
      <c r="Q211" s="12" t="inlineStr">
        <is>
          <t>evidence/IT/IT_API結合_結果一覧_20261009.txt</t>
        </is>
      </c>
      <c r="R211" s="12" t="n"/>
      <c r="S211" s="12" t="n"/>
      <c r="T211" s="12" t="n"/>
    </row>
    <row r="212" ht="27" customHeight="1">
      <c r="A212" s="12" t="inlineStr">
        <is>
          <t>IT-CMN-E10</t>
        </is>
      </c>
      <c r="B212" s="12" t="inlineStr">
        <is>
          <t>認証・リクエスト形式</t>
        </is>
      </c>
      <c r="C212" s="12" t="inlineStr">
        <is>
          <t>異常系</t>
        </is>
      </c>
      <c r="D212" s="12" t="inlineStr">
        <is>
          <t>本文の形式がJSONでないとリクエスト形式エラー（415）になる</t>
        </is>
      </c>
      <c r="E212" s="12" t="inlineStr">
        <is>
          <t>-</t>
        </is>
      </c>
      <c r="F212" s="12" t="inlineStr">
        <is>
          <t>一般ユーザー（ID=1）でPOST /api/favoritesに、Content-Type: text/plainの本文を送る</t>
        </is>
      </c>
      <c r="G212" s="12" t="inlineStr">
        <is>
          <t>415「リクエストの形式が不正です」（E-V-030）。500にはならない</t>
        </is>
      </c>
      <c r="H212" s="12" t="inlineStr">
        <is>
          <t>favoritesは変更されない</t>
        </is>
      </c>
      <c r="I212" s="12" t="inlineStr">
        <is>
          <t>-</t>
        </is>
      </c>
      <c r="J212" s="12" t="inlineStr">
        <is>
          <t>33_共通詳細設計書 3.1</t>
        </is>
      </c>
      <c r="K212" s="12" t="inlineStr">
        <is>
          <t>自動</t>
        </is>
      </c>
      <c r="L212" s="12" t="inlineStr">
        <is>
          <t>cmn_JSON以外の形式の本文は415になる</t>
        </is>
      </c>
      <c r="M212" s="12" t="inlineStr">
        <is>
          <t>OK</t>
        </is>
      </c>
      <c r="N212" s="23" t="n">
        <v>46304</v>
      </c>
      <c r="O212" s="12" t="inlineStr">
        <is>
          <t>佐々木（Claude Code）</t>
        </is>
      </c>
      <c r="P212" s="12" t="inlineStr">
        <is>
          <t>自動テスト成功（Issue #17 の修正で追加）</t>
        </is>
      </c>
      <c r="Q212" s="12" t="inlineStr">
        <is>
          <t>evidence/IT/IT_API結合_結果一覧_20261009.txt</t>
        </is>
      </c>
      <c r="R212" s="12" t="n"/>
      <c r="S212" s="12" t="n"/>
      <c r="T212" s="12" t="n"/>
    </row>
  </sheetData>
  <autoFilter ref="A1:T212"/>
  <conditionalFormatting sqref="M2:M212">
    <cfRule type="cellIs" priority="1" operator="equal" dxfId="3">
      <formula>"OK"</formula>
    </cfRule>
    <cfRule type="cellIs" priority="2" operator="equal" dxfId="2">
      <formula>"NG"</formula>
    </cfRule>
    <cfRule type="cellIs" priority="3" operator="equal" dxfId="1">
      <formula>"保留"</formula>
    </cfRule>
    <cfRule type="cellIs" priority="4" operator="equal" dxfId="0">
      <formula>"対象外"</formula>
    </cfRule>
  </conditionalFormatting>
  <conditionalFormatting sqref="S2:S212">
    <cfRule type="cellIs" priority="5" operator="equal" dxfId="3">
      <formula>"OK"</formula>
    </cfRule>
    <cfRule type="cellIs" priority="6" operator="equal" dxfId="2">
      <formula>"NG"</formula>
    </cfRule>
    <cfRule type="cellIs" priority="7" operator="equal" dxfId="1">
      <formula>"保留"</formula>
    </cfRule>
    <cfRule type="cellIs" priority="8" operator="equal" dxfId="0">
      <formula>"対象外"</formula>
    </cfRule>
  </conditionalFormatting>
  <dataValidations count="2">
    <dataValidation sqref="M2:M212" showDropDown="0" showInputMessage="0" showErrorMessage="0" allowBlank="1" type="list">
      <formula1>"OK,NG,保留,対象外"</formula1>
    </dataValidation>
    <dataValidation sqref="S2:S212" showDropDown="0" showInputMessage="0" showErrorMessage="0" allowBlank="1" type="list">
      <formula1>"OK,NG"</formula1>
    </dataValidation>
  </dataValidations>
  <hyperlinks>
    <hyperlink xmlns:r="http://schemas.openxmlformats.org/officeDocument/2006/relationships" ref="Q2" location="'共通'!A4" r:id="rId1"/>
    <hyperlink xmlns:r="http://schemas.openxmlformats.org/officeDocument/2006/relationships" ref="Q3" location="'共通'!A43" r:id="rId2"/>
    <hyperlink xmlns:r="http://schemas.openxmlformats.org/officeDocument/2006/relationships" ref="Q4" location="'共通'!A101" r:id="rId3"/>
    <hyperlink xmlns:r="http://schemas.openxmlformats.org/officeDocument/2006/relationships" ref="Q5" location="'共通'!A140" r:id="rId4"/>
    <hyperlink xmlns:r="http://schemas.openxmlformats.org/officeDocument/2006/relationships" ref="Q6" location="'共通'!A179" r:id="rId5"/>
    <hyperlink xmlns:r="http://schemas.openxmlformats.org/officeDocument/2006/relationships" ref="Q7" location="'共通'!A218" r:id="rId6"/>
    <hyperlink xmlns:r="http://schemas.openxmlformats.org/officeDocument/2006/relationships" ref="Q8" location="'共通'!A276" r:id="rId7"/>
    <hyperlink xmlns:r="http://schemas.openxmlformats.org/officeDocument/2006/relationships" ref="Q9" location="'共通'!A315" r:id="rId8"/>
    <hyperlink xmlns:r="http://schemas.openxmlformats.org/officeDocument/2006/relationships" ref="Q10" location="'共通'!A354" r:id="rId9"/>
    <hyperlink xmlns:r="http://schemas.openxmlformats.org/officeDocument/2006/relationships" ref="Q12" location="'共通'!A393" r:id="rId10"/>
    <hyperlink xmlns:r="http://schemas.openxmlformats.org/officeDocument/2006/relationships" ref="Q13" location="'共通'!A451" r:id="rId11"/>
    <hyperlink xmlns:r="http://schemas.openxmlformats.org/officeDocument/2006/relationships" ref="Q14" location="'共通'!A490" r:id="rId12"/>
    <hyperlink xmlns:r="http://schemas.openxmlformats.org/officeDocument/2006/relationships" ref="Q17" location="'AP-010'!A4" r:id="rId13"/>
    <hyperlink xmlns:r="http://schemas.openxmlformats.org/officeDocument/2006/relationships" ref="Q21" location="'AP-010'!A43" r:id="rId14"/>
    <hyperlink xmlns:r="http://schemas.openxmlformats.org/officeDocument/2006/relationships" ref="Q22" location="'AP-010'!A82" r:id="rId15"/>
    <hyperlink xmlns:r="http://schemas.openxmlformats.org/officeDocument/2006/relationships" ref="Q26" location="'AP-011'!A4" r:id="rId16"/>
    <hyperlink xmlns:r="http://schemas.openxmlformats.org/officeDocument/2006/relationships" ref="Q27" location="'AP-011'!A62" r:id="rId17"/>
    <hyperlink xmlns:r="http://schemas.openxmlformats.org/officeDocument/2006/relationships" ref="Q28" location="'AP-011'!A120" r:id="rId18"/>
    <hyperlink xmlns:r="http://schemas.openxmlformats.org/officeDocument/2006/relationships" ref="Q29" location="'AP-011'!A178" r:id="rId19"/>
    <hyperlink xmlns:r="http://schemas.openxmlformats.org/officeDocument/2006/relationships" ref="Q31" location="'AP-011'!A236" r:id="rId20"/>
    <hyperlink xmlns:r="http://schemas.openxmlformats.org/officeDocument/2006/relationships" ref="Q32" location="'AP-011'!A294" r:id="rId21"/>
    <hyperlink xmlns:r="http://schemas.openxmlformats.org/officeDocument/2006/relationships" ref="Q36" location="'AP-011'!A352" r:id="rId22"/>
    <hyperlink xmlns:r="http://schemas.openxmlformats.org/officeDocument/2006/relationships" ref="Q37" location="'AP-011'!A410" r:id="rId23"/>
    <hyperlink xmlns:r="http://schemas.openxmlformats.org/officeDocument/2006/relationships" ref="Q42" location="'AP-012'!A4" r:id="rId24"/>
    <hyperlink xmlns:r="http://schemas.openxmlformats.org/officeDocument/2006/relationships" ref="Q43" location="'AP-012'!A62" r:id="rId25"/>
    <hyperlink xmlns:r="http://schemas.openxmlformats.org/officeDocument/2006/relationships" ref="Q47" location="'AP-013'!A4" r:id="rId26"/>
    <hyperlink xmlns:r="http://schemas.openxmlformats.org/officeDocument/2006/relationships" ref="Q53" location="'AP-014'!A4" r:id="rId27"/>
    <hyperlink xmlns:r="http://schemas.openxmlformats.org/officeDocument/2006/relationships" ref="Q56" location="'AP-020'!A4" r:id="rId28"/>
    <hyperlink xmlns:r="http://schemas.openxmlformats.org/officeDocument/2006/relationships" ref="Q57" location="'AP-020'!A43" r:id="rId29"/>
    <hyperlink xmlns:r="http://schemas.openxmlformats.org/officeDocument/2006/relationships" ref="Q58" location="'AP-020'!A82" r:id="rId30"/>
    <hyperlink xmlns:r="http://schemas.openxmlformats.org/officeDocument/2006/relationships" ref="Q60" location="'AP-021'!A4" r:id="rId31"/>
    <hyperlink xmlns:r="http://schemas.openxmlformats.org/officeDocument/2006/relationships" ref="Q61" location="'AP-021'!A43" r:id="rId32"/>
    <hyperlink xmlns:r="http://schemas.openxmlformats.org/officeDocument/2006/relationships" ref="Q62" location="'AP-021'!A82" r:id="rId33"/>
    <hyperlink xmlns:r="http://schemas.openxmlformats.org/officeDocument/2006/relationships" ref="Q65" location="'AP-030'!A4" r:id="rId34"/>
    <hyperlink xmlns:r="http://schemas.openxmlformats.org/officeDocument/2006/relationships" ref="Q66" location="'AP-030'!A62" r:id="rId35"/>
    <hyperlink xmlns:r="http://schemas.openxmlformats.org/officeDocument/2006/relationships" ref="Q67" location="'AP-030'!A120" r:id="rId36"/>
    <hyperlink xmlns:r="http://schemas.openxmlformats.org/officeDocument/2006/relationships" ref="Q68" location="'AP-030'!A178" r:id="rId37"/>
    <hyperlink xmlns:r="http://schemas.openxmlformats.org/officeDocument/2006/relationships" ref="Q69" location="'AP-030'!A236" r:id="rId38"/>
    <hyperlink xmlns:r="http://schemas.openxmlformats.org/officeDocument/2006/relationships" ref="Q70" location="'AP-030'!A294" r:id="rId39"/>
    <hyperlink xmlns:r="http://schemas.openxmlformats.org/officeDocument/2006/relationships" ref="Q71" location="'AP-030'!A352" r:id="rId40"/>
    <hyperlink xmlns:r="http://schemas.openxmlformats.org/officeDocument/2006/relationships" ref="Q72" location="'AP-030'!A410" r:id="rId41"/>
    <hyperlink xmlns:r="http://schemas.openxmlformats.org/officeDocument/2006/relationships" ref="Q73" location="'AP-030'!A468" r:id="rId42"/>
    <hyperlink xmlns:r="http://schemas.openxmlformats.org/officeDocument/2006/relationships" ref="Q74" location="'AP-030'!A526" r:id="rId43"/>
    <hyperlink xmlns:r="http://schemas.openxmlformats.org/officeDocument/2006/relationships" ref="Q75" location="'AP-030'!A584" r:id="rId44"/>
    <hyperlink xmlns:r="http://schemas.openxmlformats.org/officeDocument/2006/relationships" ref="R75" r:id="rId45"/>
    <hyperlink xmlns:r="http://schemas.openxmlformats.org/officeDocument/2006/relationships" ref="Q76" location="'AP-030'!A642" r:id="rId46"/>
    <hyperlink xmlns:r="http://schemas.openxmlformats.org/officeDocument/2006/relationships" ref="Q77" location="'AP-030'!A700" r:id="rId47"/>
    <hyperlink xmlns:r="http://schemas.openxmlformats.org/officeDocument/2006/relationships" ref="Q78" location="'AP-030'!A758" r:id="rId48"/>
    <hyperlink xmlns:r="http://schemas.openxmlformats.org/officeDocument/2006/relationships" ref="Q80" location="'AP-031'!A4" r:id="rId49"/>
    <hyperlink xmlns:r="http://schemas.openxmlformats.org/officeDocument/2006/relationships" ref="Q81" location="'AP-031'!A43" r:id="rId50"/>
    <hyperlink xmlns:r="http://schemas.openxmlformats.org/officeDocument/2006/relationships" ref="Q83" location="'AP-032'!A4" r:id="rId51"/>
    <hyperlink xmlns:r="http://schemas.openxmlformats.org/officeDocument/2006/relationships" ref="Q84" location="'AP-032'!A62" r:id="rId52"/>
    <hyperlink xmlns:r="http://schemas.openxmlformats.org/officeDocument/2006/relationships" ref="Q85" location="'AP-032'!A120" r:id="rId53"/>
    <hyperlink xmlns:r="http://schemas.openxmlformats.org/officeDocument/2006/relationships" ref="Q86" location="'AP-032'!A178" r:id="rId54"/>
    <hyperlink xmlns:r="http://schemas.openxmlformats.org/officeDocument/2006/relationships" ref="Q87" location="'AP-032'!A236" r:id="rId55"/>
    <hyperlink xmlns:r="http://schemas.openxmlformats.org/officeDocument/2006/relationships" ref="Q88" location="'AP-032'!A294" r:id="rId56"/>
    <hyperlink xmlns:r="http://schemas.openxmlformats.org/officeDocument/2006/relationships" ref="Q89" location="'AP-040'!A4" r:id="rId57"/>
    <hyperlink xmlns:r="http://schemas.openxmlformats.org/officeDocument/2006/relationships" ref="Q90" location="'AP-040'!A62" r:id="rId58"/>
    <hyperlink xmlns:r="http://schemas.openxmlformats.org/officeDocument/2006/relationships" ref="Q91" location="'AP-040'!A120" r:id="rId59"/>
    <hyperlink xmlns:r="http://schemas.openxmlformats.org/officeDocument/2006/relationships" ref="Q92" location="'AP-040'!A178" r:id="rId60"/>
    <hyperlink xmlns:r="http://schemas.openxmlformats.org/officeDocument/2006/relationships" ref="Q93" location="'AP-040'!A236" r:id="rId61"/>
    <hyperlink xmlns:r="http://schemas.openxmlformats.org/officeDocument/2006/relationships" ref="Q94" location="'AP-041'!A4" r:id="rId62"/>
    <hyperlink xmlns:r="http://schemas.openxmlformats.org/officeDocument/2006/relationships" ref="Q95" location="'AP-041'!A62" r:id="rId63"/>
    <hyperlink xmlns:r="http://schemas.openxmlformats.org/officeDocument/2006/relationships" ref="Q96" location="'AP-042'!A4" r:id="rId64"/>
    <hyperlink xmlns:r="http://schemas.openxmlformats.org/officeDocument/2006/relationships" ref="Q97" location="'AP-042'!A43" r:id="rId65"/>
    <hyperlink xmlns:r="http://schemas.openxmlformats.org/officeDocument/2006/relationships" ref="Q98" location="'AP-042'!A82" r:id="rId66"/>
    <hyperlink xmlns:r="http://schemas.openxmlformats.org/officeDocument/2006/relationships" ref="Q99" location="'AP-050'!A4" r:id="rId67"/>
    <hyperlink xmlns:r="http://schemas.openxmlformats.org/officeDocument/2006/relationships" ref="Q100" location="'AP-050'!A43" r:id="rId68"/>
    <hyperlink xmlns:r="http://schemas.openxmlformats.org/officeDocument/2006/relationships" ref="Q101" location="'AP-050'!A82" r:id="rId69"/>
    <hyperlink xmlns:r="http://schemas.openxmlformats.org/officeDocument/2006/relationships" ref="Q102" location="'AP-050'!A121" r:id="rId70"/>
    <hyperlink xmlns:r="http://schemas.openxmlformats.org/officeDocument/2006/relationships" ref="Q103" location="'AP-050'!A160" r:id="rId71"/>
    <hyperlink xmlns:r="http://schemas.openxmlformats.org/officeDocument/2006/relationships" ref="Q104" location="'AP-051'!A4" r:id="rId72"/>
    <hyperlink xmlns:r="http://schemas.openxmlformats.org/officeDocument/2006/relationships" ref="Q105" location="'AP-051'!A62" r:id="rId73"/>
    <hyperlink xmlns:r="http://schemas.openxmlformats.org/officeDocument/2006/relationships" ref="Q106" location="'AP-051'!A120" r:id="rId74"/>
    <hyperlink xmlns:r="http://schemas.openxmlformats.org/officeDocument/2006/relationships" ref="Q107" location="'AP-051'!A178" r:id="rId75"/>
    <hyperlink xmlns:r="http://schemas.openxmlformats.org/officeDocument/2006/relationships" ref="Q108" location="'AP-051'!A236" r:id="rId76"/>
    <hyperlink xmlns:r="http://schemas.openxmlformats.org/officeDocument/2006/relationships" ref="Q109" location="'AP-051'!A294" r:id="rId77"/>
    <hyperlink xmlns:r="http://schemas.openxmlformats.org/officeDocument/2006/relationships" ref="Q110" location="'AP-051'!A352" r:id="rId78"/>
    <hyperlink xmlns:r="http://schemas.openxmlformats.org/officeDocument/2006/relationships" ref="Q111" location="'AP-051'!A410" r:id="rId79"/>
    <hyperlink xmlns:r="http://schemas.openxmlformats.org/officeDocument/2006/relationships" ref="Q112" location="'AP-051'!A468" r:id="rId80"/>
    <hyperlink xmlns:r="http://schemas.openxmlformats.org/officeDocument/2006/relationships" ref="Q113" location="'AP-051'!A526" r:id="rId81"/>
    <hyperlink xmlns:r="http://schemas.openxmlformats.org/officeDocument/2006/relationships" ref="Q114" location="'AP-052'!A4" r:id="rId82"/>
    <hyperlink xmlns:r="http://schemas.openxmlformats.org/officeDocument/2006/relationships" ref="Q115" location="'AP-052'!A62" r:id="rId83"/>
    <hyperlink xmlns:r="http://schemas.openxmlformats.org/officeDocument/2006/relationships" ref="Q116" location="'AP-052'!A120" r:id="rId84"/>
    <hyperlink xmlns:r="http://schemas.openxmlformats.org/officeDocument/2006/relationships" ref="Q117" location="'AP-052'!A178" r:id="rId85"/>
    <hyperlink xmlns:r="http://schemas.openxmlformats.org/officeDocument/2006/relationships" ref="Q118" location="'AP-052'!A236" r:id="rId86"/>
    <hyperlink xmlns:r="http://schemas.openxmlformats.org/officeDocument/2006/relationships" ref="Q122" location="'AP-120'!A4" r:id="rId87"/>
    <hyperlink xmlns:r="http://schemas.openxmlformats.org/officeDocument/2006/relationships" ref="Q123" location="'AP-120'!A62" r:id="rId88"/>
    <hyperlink xmlns:r="http://schemas.openxmlformats.org/officeDocument/2006/relationships" ref="Q126" location="'AP-120'!A120" r:id="rId89"/>
    <hyperlink xmlns:r="http://schemas.openxmlformats.org/officeDocument/2006/relationships" ref="Q127" location="'AP-120'!A178" r:id="rId90"/>
    <hyperlink xmlns:r="http://schemas.openxmlformats.org/officeDocument/2006/relationships" ref="Q128" location="'AP-120'!A236" r:id="rId91"/>
    <hyperlink xmlns:r="http://schemas.openxmlformats.org/officeDocument/2006/relationships" ref="Q130" location="'AP-120'!A294" r:id="rId92"/>
    <hyperlink xmlns:r="http://schemas.openxmlformats.org/officeDocument/2006/relationships" ref="Q131" location="'AP-120'!A352" r:id="rId93"/>
    <hyperlink xmlns:r="http://schemas.openxmlformats.org/officeDocument/2006/relationships" ref="Q132" location="'AP-120'!A410" r:id="rId94"/>
    <hyperlink xmlns:r="http://schemas.openxmlformats.org/officeDocument/2006/relationships" ref="Q133" location="'AP-120'!A468" r:id="rId95"/>
    <hyperlink xmlns:r="http://schemas.openxmlformats.org/officeDocument/2006/relationships" ref="Q134" location="'AP-121'!A4" r:id="rId96"/>
    <hyperlink xmlns:r="http://schemas.openxmlformats.org/officeDocument/2006/relationships" ref="Q135" location="'AP-121'!A62" r:id="rId97"/>
    <hyperlink xmlns:r="http://schemas.openxmlformats.org/officeDocument/2006/relationships" ref="Q138" location="'AP-121'!A120" r:id="rId98"/>
    <hyperlink xmlns:r="http://schemas.openxmlformats.org/officeDocument/2006/relationships" ref="Q139" location="'AP-121'!A178" r:id="rId99"/>
    <hyperlink xmlns:r="http://schemas.openxmlformats.org/officeDocument/2006/relationships" ref="Q140" location="'AP-121'!A236" r:id="rId100"/>
    <hyperlink xmlns:r="http://schemas.openxmlformats.org/officeDocument/2006/relationships" ref="Q141" location="'AP-121'!A294" r:id="rId101"/>
    <hyperlink xmlns:r="http://schemas.openxmlformats.org/officeDocument/2006/relationships" ref="Q143" location="'AP-121'!A352" r:id="rId102"/>
    <hyperlink xmlns:r="http://schemas.openxmlformats.org/officeDocument/2006/relationships" ref="Q144" location="'AP-122'!A4" r:id="rId103"/>
    <hyperlink xmlns:r="http://schemas.openxmlformats.org/officeDocument/2006/relationships" ref="Q145" location="'AP-122'!A62" r:id="rId104"/>
    <hyperlink xmlns:r="http://schemas.openxmlformats.org/officeDocument/2006/relationships" ref="Q146" location="'AP-122'!A120" r:id="rId105"/>
    <hyperlink xmlns:r="http://schemas.openxmlformats.org/officeDocument/2006/relationships" ref="Q147" location="'AP-122'!A159" r:id="rId106"/>
    <hyperlink xmlns:r="http://schemas.openxmlformats.org/officeDocument/2006/relationships" ref="Q148" location="'AP-122'!A217" r:id="rId107"/>
    <hyperlink xmlns:r="http://schemas.openxmlformats.org/officeDocument/2006/relationships" ref="Q149" location="'AP-122'!A275" r:id="rId108"/>
    <hyperlink xmlns:r="http://schemas.openxmlformats.org/officeDocument/2006/relationships" ref="Q150" location="'AP-122'!A333" r:id="rId109"/>
    <hyperlink xmlns:r="http://schemas.openxmlformats.org/officeDocument/2006/relationships" ref="Q151" location="'AP-123'!A4" r:id="rId110"/>
    <hyperlink xmlns:r="http://schemas.openxmlformats.org/officeDocument/2006/relationships" ref="Q152" location="'AP-123'!A43" r:id="rId111"/>
    <hyperlink xmlns:r="http://schemas.openxmlformats.org/officeDocument/2006/relationships" ref="Q153" location="'AP-123'!A82" r:id="rId112"/>
    <hyperlink xmlns:r="http://schemas.openxmlformats.org/officeDocument/2006/relationships" ref="Q154" location="'AP-124'!A4" r:id="rId113"/>
    <hyperlink xmlns:r="http://schemas.openxmlformats.org/officeDocument/2006/relationships" ref="Q155" location="'AP-124'!A62" r:id="rId114"/>
    <hyperlink xmlns:r="http://schemas.openxmlformats.org/officeDocument/2006/relationships" ref="Q156" location="'AP-124'!A120" r:id="rId115"/>
    <hyperlink xmlns:r="http://schemas.openxmlformats.org/officeDocument/2006/relationships" ref="Q157" location="'AP-124'!A178" r:id="rId116"/>
    <hyperlink xmlns:r="http://schemas.openxmlformats.org/officeDocument/2006/relationships" ref="Q158" location="'AP-125'!A4" r:id="rId117"/>
    <hyperlink xmlns:r="http://schemas.openxmlformats.org/officeDocument/2006/relationships" ref="Q159" location="'AP-125'!A43" r:id="rId118"/>
    <hyperlink xmlns:r="http://schemas.openxmlformats.org/officeDocument/2006/relationships" ref="Q160" location="'AP-125'!A82" r:id="rId119"/>
    <hyperlink xmlns:r="http://schemas.openxmlformats.org/officeDocument/2006/relationships" ref="Q161" location="'AP-125'!A121" r:id="rId120"/>
    <hyperlink xmlns:r="http://schemas.openxmlformats.org/officeDocument/2006/relationships" ref="Q162" location="'AP-125'!A160" r:id="rId121"/>
    <hyperlink xmlns:r="http://schemas.openxmlformats.org/officeDocument/2006/relationships" ref="Q163" location="'AP-126'!A4" r:id="rId122"/>
    <hyperlink xmlns:r="http://schemas.openxmlformats.org/officeDocument/2006/relationships" ref="Q164" location="'AP-126'!A62" r:id="rId123"/>
    <hyperlink xmlns:r="http://schemas.openxmlformats.org/officeDocument/2006/relationships" ref="Q165" location="'AP-126'!A120" r:id="rId124"/>
    <hyperlink xmlns:r="http://schemas.openxmlformats.org/officeDocument/2006/relationships" ref="Q166" location="'AP-126'!A178" r:id="rId125"/>
    <hyperlink xmlns:r="http://schemas.openxmlformats.org/officeDocument/2006/relationships" ref="Q167" location="'AP-126'!A236" r:id="rId126"/>
    <hyperlink xmlns:r="http://schemas.openxmlformats.org/officeDocument/2006/relationships" ref="Q168" location="'AP-126'!A294" r:id="rId127"/>
    <hyperlink xmlns:r="http://schemas.openxmlformats.org/officeDocument/2006/relationships" ref="Q169" location="'AP-130'!A4" r:id="rId128"/>
    <hyperlink xmlns:r="http://schemas.openxmlformats.org/officeDocument/2006/relationships" ref="Q170" location="'AP-130'!A43" r:id="rId129"/>
    <hyperlink xmlns:r="http://schemas.openxmlformats.org/officeDocument/2006/relationships" ref="Q171" location="'AP-130'!A82" r:id="rId130"/>
    <hyperlink xmlns:r="http://schemas.openxmlformats.org/officeDocument/2006/relationships" ref="Q172" location="'AP-130'!A121" r:id="rId131"/>
    <hyperlink xmlns:r="http://schemas.openxmlformats.org/officeDocument/2006/relationships" ref="Q173" location="'AP-130'!A160" r:id="rId132"/>
    <hyperlink xmlns:r="http://schemas.openxmlformats.org/officeDocument/2006/relationships" ref="Q177" location="'AP-130'!A199" r:id="rId133"/>
    <hyperlink xmlns:r="http://schemas.openxmlformats.org/officeDocument/2006/relationships" ref="Q181" location="'AP-132'!A4" r:id="rId134"/>
    <hyperlink xmlns:r="http://schemas.openxmlformats.org/officeDocument/2006/relationships" ref="Q182" location="'AP-140'!A4" r:id="rId135"/>
    <hyperlink xmlns:r="http://schemas.openxmlformats.org/officeDocument/2006/relationships" ref="Q183" location="'AP-140'!A43" r:id="rId136"/>
    <hyperlink xmlns:r="http://schemas.openxmlformats.org/officeDocument/2006/relationships" ref="Q184" location="'AP-140'!A82" r:id="rId137"/>
    <hyperlink xmlns:r="http://schemas.openxmlformats.org/officeDocument/2006/relationships" ref="Q189" location="'AP-142'!A4" r:id="rId138"/>
    <hyperlink xmlns:r="http://schemas.openxmlformats.org/officeDocument/2006/relationships" ref="Q190" location="'AP-142'!A43" r:id="rId139"/>
    <hyperlink xmlns:r="http://schemas.openxmlformats.org/officeDocument/2006/relationships" ref="Q192" location="'AP-143'!A4" r:id="rId140"/>
    <hyperlink xmlns:r="http://schemas.openxmlformats.org/officeDocument/2006/relationships" ref="Q193" location="'AP-143'!A43" r:id="rId141"/>
    <hyperlink xmlns:r="http://schemas.openxmlformats.org/officeDocument/2006/relationships" ref="Q195" location="'AP-144'!A4" r:id="rId142"/>
    <hyperlink xmlns:r="http://schemas.openxmlformats.org/officeDocument/2006/relationships" ref="Q196" location="'AP-144'!A43" r:id="rId143"/>
    <hyperlink xmlns:r="http://schemas.openxmlformats.org/officeDocument/2006/relationships" ref="Q200" location="'AP-145'!A4" r:id="rId144"/>
    <hyperlink xmlns:r="http://schemas.openxmlformats.org/officeDocument/2006/relationships" ref="Q201" location="'AP-145'!A62" r:id="rId145"/>
    <hyperlink xmlns:r="http://schemas.openxmlformats.org/officeDocument/2006/relationships" ref="Q208" location="'AP-150'!A4" r:id="rId146"/>
    <hyperlink xmlns:r="http://schemas.openxmlformats.org/officeDocument/2006/relationships" ref="Q209" location="'AP-900'!A4" r:id="rId1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33"/>
  <sheetViews>
    <sheetView tabSelected="1" workbookViewId="0">
      <pane xSplit="3" ySplit="1" topLeftCell="I2" activePane="bottomRight" state="frozen"/>
      <selection pane="topRight" activeCell="A1" sqref="A1"/>
      <selection pane="bottomLeft" activeCell="A1" sqref="A1"/>
      <selection pane="bottomRight" activeCell="A1" sqref="A1"/>
    </sheetView>
  </sheetViews>
  <sheetFormatPr baseColWidth="8" defaultRowHeight="13"/>
  <cols>
    <col width="14" customWidth="1" min="1" max="1"/>
    <col width="22" customWidth="1" min="2" max="2"/>
    <col width="8" customWidth="1" min="3" max="3"/>
    <col width="34" customWidth="1" min="4" max="4"/>
    <col width="26" customWidth="1" min="5" max="5"/>
    <col width="36" customWidth="1" min="6" max="6"/>
    <col width="40" customWidth="1" min="7" max="7"/>
    <col width="36" customWidth="1" min="8" max="8"/>
    <col width="52" customWidth="1" min="9" max="9"/>
    <col width="20" customWidth="1" min="10" max="10"/>
    <col width="9" customWidth="1" min="11" max="11"/>
    <col width="30" customWidth="1" min="12" max="12"/>
    <col width="7" customWidth="1" min="13" max="13"/>
    <col width="11" customWidth="1" min="14" max="14"/>
    <col width="14" customWidth="1" min="15" max="15"/>
    <col width="30" customWidth="1" min="16" max="17"/>
    <col width="10" customWidth="1" min="18" max="18"/>
    <col width="13" customWidth="1" min="19" max="19"/>
    <col width="11" customWidth="1" min="20" max="20"/>
  </cols>
  <sheetData>
    <row r="1" ht="27" customHeight="1">
      <c r="A1" s="10" t="inlineStr">
        <is>
          <t>ID</t>
        </is>
      </c>
      <c r="B1" s="10" t="inlineStr">
        <is>
          <t>対象</t>
        </is>
      </c>
      <c r="C1" s="10" t="inlineStr">
        <is>
          <t>区分</t>
        </is>
      </c>
      <c r="D1" s="10" t="inlineStr">
        <is>
          <t>確認する内容</t>
        </is>
      </c>
      <c r="E1" s="10" t="inlineStr">
        <is>
          <t>前提</t>
        </is>
      </c>
      <c r="F1" s="10" t="inlineStr">
        <is>
          <t>操作・入力</t>
        </is>
      </c>
      <c r="G1" s="10" t="inlineStr">
        <is>
          <t>期待結果</t>
        </is>
      </c>
      <c r="H1" s="10" t="inlineStr">
        <is>
          <t>期待結果（データベース）</t>
        </is>
      </c>
      <c r="I1" s="10" t="inlineStr">
        <is>
          <t>確認SQL</t>
        </is>
      </c>
      <c r="J1" s="10" t="inlineStr">
        <is>
          <t>根拠</t>
        </is>
      </c>
      <c r="K1" s="10" t="inlineStr">
        <is>
          <t>実施方法</t>
        </is>
      </c>
      <c r="L1" s="10" t="inlineStr">
        <is>
          <t>自動テスト</t>
        </is>
      </c>
      <c r="M1" s="11" t="inlineStr">
        <is>
          <t>結果</t>
        </is>
      </c>
      <c r="N1" s="11" t="inlineStr">
        <is>
          <t>実施日</t>
        </is>
      </c>
      <c r="O1" s="11" t="inlineStr">
        <is>
          <t>実施者</t>
        </is>
      </c>
      <c r="P1" s="11" t="inlineStr">
        <is>
          <t>実際の結果・備考</t>
        </is>
      </c>
      <c r="Q1" s="11" t="inlineStr">
        <is>
          <t>証跡</t>
        </is>
      </c>
      <c r="R1" s="11" t="inlineStr">
        <is>
          <t>不具合Issue</t>
        </is>
      </c>
      <c r="S1" s="11" t="inlineStr">
        <is>
          <t>再テスト結果</t>
        </is>
      </c>
      <c r="T1" s="11" t="inlineStr">
        <is>
          <t>再テスト日</t>
        </is>
      </c>
    </row>
    <row r="2" ht="27" customHeight="1">
      <c r="A2" s="12" t="inlineStr">
        <is>
          <t>IT-NAV-N01</t>
        </is>
      </c>
      <c r="B2" s="12" t="inlineStr">
        <is>
          <t>ログイン状態と画面遷移の制御</t>
        </is>
      </c>
      <c r="C2" s="12" t="inlineStr">
        <is>
          <t>正常系</t>
        </is>
      </c>
      <c r="D2" s="12" t="inlineStr">
        <is>
          <t>再読み込みしてもログイン状態が維持される</t>
        </is>
      </c>
      <c r="E2" s="12" t="inlineStr">
        <is>
          <t>一般ユーザーでログイン</t>
        </is>
      </c>
      <c r="F2" s="12" t="inlineStr">
        <is>
          <t>SC-020でブラウザを再読み込みする</t>
        </is>
      </c>
      <c r="G2" s="12" t="inlineStr">
        <is>
          <t>SC-020が表示され、一般利用者向けのナビゲーションが表示されたままになる</t>
        </is>
      </c>
      <c r="H2" s="12" t="inlineStr">
        <is>
          <t>-（参照のみ）</t>
        </is>
      </c>
      <c r="I2" s="12" t="inlineStr">
        <is>
          <t>-</t>
        </is>
      </c>
      <c r="J2" s="12" t="inlineStr">
        <is>
          <t>24_方式設計書 3.2</t>
        </is>
      </c>
      <c r="K2" s="12" t="inlineStr">
        <is>
          <t>手動</t>
        </is>
      </c>
      <c r="L2" s="12" t="n"/>
      <c r="M2" s="12" t="inlineStr">
        <is>
          <t>OK</t>
        </is>
      </c>
      <c r="N2" s="23" t="n">
        <v>46308</v>
      </c>
      <c r="O2" s="12" t="inlineStr">
        <is>
          <t>佐々木</t>
        </is>
      </c>
      <c r="P2" s="12" t="n"/>
      <c r="Q2" s="15" t="inlineStr">
        <is>
          <t>45_テストエビデンス_画面結合.xlsx／共通</t>
        </is>
      </c>
      <c r="R2" s="12" t="n"/>
      <c r="S2" s="12" t="n"/>
      <c r="T2" s="12" t="n"/>
    </row>
    <row r="3" ht="27" customHeight="1">
      <c r="A3" s="12" t="inlineStr">
        <is>
          <t>IT-NAV-N02</t>
        </is>
      </c>
      <c r="B3" s="12" t="inlineStr">
        <is>
          <t>ログイン状態と画面遷移の制御</t>
        </is>
      </c>
      <c r="C3" s="12" t="inlineStr">
        <is>
          <t>正常系</t>
        </is>
      </c>
      <c r="D3" s="12" t="inlineStr">
        <is>
          <t>ログアウトするとログイン画面に戻る</t>
        </is>
      </c>
      <c r="E3" s="12" t="inlineStr">
        <is>
          <t>一般ユーザーでログイン</t>
        </is>
      </c>
      <c r="F3" s="12" t="inlineStr">
        <is>
          <t>共通ナビゲーションの「ログアウト」を押す</t>
        </is>
      </c>
      <c r="G3" s="12" t="inlineStr">
        <is>
          <t>SC-010へ遷移する</t>
        </is>
      </c>
      <c r="H3" s="12" t="inlineStr">
        <is>
          <t>-（参照のみ）</t>
        </is>
      </c>
      <c r="I3" s="12" t="inlineStr">
        <is>
          <t>-</t>
        </is>
      </c>
      <c r="J3" s="12" t="inlineStr">
        <is>
          <t>30_画面詳細設計書 3章</t>
        </is>
      </c>
      <c r="K3" s="12" t="inlineStr">
        <is>
          <t>手動</t>
        </is>
      </c>
      <c r="L3" s="12" t="n"/>
      <c r="M3" s="12" t="inlineStr">
        <is>
          <t>OK</t>
        </is>
      </c>
      <c r="N3" s="23" t="n">
        <v>46308</v>
      </c>
      <c r="O3" s="12" t="inlineStr">
        <is>
          <t>佐々木</t>
        </is>
      </c>
      <c r="P3" s="12" t="n"/>
      <c r="Q3" s="15" t="inlineStr">
        <is>
          <t>45_テストエビデンス_画面結合.xlsx／共通</t>
        </is>
      </c>
      <c r="R3" s="12" t="n"/>
      <c r="S3" s="12" t="n"/>
      <c r="T3" s="12" t="n"/>
    </row>
    <row r="4" ht="27" customHeight="1">
      <c r="A4" s="12" t="inlineStr">
        <is>
          <t>IT-NAV-N03</t>
        </is>
      </c>
      <c r="B4" s="12" t="inlineStr">
        <is>
          <t>ログイン状態と画面遷移の制御</t>
        </is>
      </c>
      <c r="C4" s="12" t="inlineStr">
        <is>
          <t>正常系</t>
        </is>
      </c>
      <c r="D4" s="12" t="inlineStr">
        <is>
          <t>一般利用者のナビゲーションに「パスワード変更」がある</t>
        </is>
      </c>
      <c r="E4" s="12" t="inlineStr">
        <is>
          <t>一般ユーザーでログイン</t>
        </is>
      </c>
      <c r="F4" s="12" t="inlineStr">
        <is>
          <t>共通ナビゲーションを確認する</t>
        </is>
      </c>
      <c r="G4" s="12" t="inlineStr">
        <is>
          <t>「イベント一覧／イベント検索／マイページ／パスワード変更／ログアウト」が表示される</t>
        </is>
      </c>
      <c r="H4" s="12" t="inlineStr">
        <is>
          <t>-（参照のみ）</t>
        </is>
      </c>
      <c r="I4" s="12" t="inlineStr">
        <is>
          <t>-</t>
        </is>
      </c>
      <c r="J4" s="12" t="inlineStr">
        <is>
          <t>21_画面基本設計書 2章</t>
        </is>
      </c>
      <c r="K4" s="12" t="inlineStr">
        <is>
          <t>手動</t>
        </is>
      </c>
      <c r="L4" s="12" t="n"/>
      <c r="M4" s="12" t="inlineStr">
        <is>
          <t>OK</t>
        </is>
      </c>
      <c r="N4" s="23" t="n">
        <v>46308</v>
      </c>
      <c r="O4" s="12" t="inlineStr">
        <is>
          <t>佐々木</t>
        </is>
      </c>
      <c r="P4" s="12" t="n"/>
      <c r="Q4" s="15" t="inlineStr">
        <is>
          <t>45_テストエビデンス_画面結合.xlsx／共通</t>
        </is>
      </c>
      <c r="R4" s="12" t="n"/>
      <c r="S4" s="12" t="n"/>
      <c r="T4" s="12" t="n"/>
    </row>
    <row r="5" ht="40.5" customHeight="1">
      <c r="A5" s="12" t="inlineStr">
        <is>
          <t>IT-NAV-N04</t>
        </is>
      </c>
      <c r="B5" s="12" t="inlineStr">
        <is>
          <t>ログイン状態と画面遷移の制御</t>
        </is>
      </c>
      <c r="C5" s="12" t="inlineStr">
        <is>
          <t>正常系</t>
        </is>
      </c>
      <c r="D5" s="12" t="inlineStr">
        <is>
          <t>管理者のナビゲーションに「パスワード変更」がある</t>
        </is>
      </c>
      <c r="E5" s="12" t="inlineStr">
        <is>
          <t>管理者でログイン</t>
        </is>
      </c>
      <c r="F5" s="12" t="inlineStr">
        <is>
          <t>共通ナビゲーションを確認する</t>
        </is>
      </c>
      <c r="G5" s="12" t="inlineStr">
        <is>
          <t>「ダッシュボード／イベント管理／申込状況・実績／利用者管理／コメント管理／パスワード変更／ログアウト」が表示される</t>
        </is>
      </c>
      <c r="H5" s="12" t="inlineStr">
        <is>
          <t>-（参照のみ）</t>
        </is>
      </c>
      <c r="I5" s="12" t="inlineStr">
        <is>
          <t>-</t>
        </is>
      </c>
      <c r="J5" s="12" t="inlineStr">
        <is>
          <t>21_画面基本設計書 2章</t>
        </is>
      </c>
      <c r="K5" s="12" t="inlineStr">
        <is>
          <t>手動</t>
        </is>
      </c>
      <c r="L5" s="12" t="n"/>
      <c r="M5" s="12" t="inlineStr">
        <is>
          <t>OK</t>
        </is>
      </c>
      <c r="N5" s="23" t="n">
        <v>46308</v>
      </c>
      <c r="O5" s="12" t="inlineStr">
        <is>
          <t>佐々木</t>
        </is>
      </c>
      <c r="P5" s="12" t="n"/>
      <c r="Q5" s="15" t="inlineStr">
        <is>
          <t>45_テストエビデンス_画面結合.xlsx／共通</t>
        </is>
      </c>
      <c r="R5" s="12" t="n"/>
      <c r="S5" s="12" t="n"/>
      <c r="T5" s="12" t="n"/>
    </row>
    <row r="6" ht="27" customHeight="1">
      <c r="A6" s="12" t="inlineStr">
        <is>
          <t>IT-NAV-E01</t>
        </is>
      </c>
      <c r="B6" s="12" t="inlineStr">
        <is>
          <t>ログイン状態と画面遷移の制御</t>
        </is>
      </c>
      <c r="C6" s="12" t="inlineStr">
        <is>
          <t>異常系</t>
        </is>
      </c>
      <c r="D6" s="12" t="inlineStr">
        <is>
          <t>ログアウト後は、ログインが必要な画面を開けない</t>
        </is>
      </c>
      <c r="E6" s="12" t="inlineStr">
        <is>
          <t>ログアウトした直後</t>
        </is>
      </c>
      <c r="F6" s="12" t="inlineStr">
        <is>
          <t>URL/eventsを直接開く</t>
        </is>
      </c>
      <c r="G6" s="12" t="inlineStr">
        <is>
          <t>SC-010へ遷移する</t>
        </is>
      </c>
      <c r="H6" s="12" t="inlineStr">
        <is>
          <t>-（参照のみ）</t>
        </is>
      </c>
      <c r="I6" s="12" t="inlineStr">
        <is>
          <t>-</t>
        </is>
      </c>
      <c r="J6" s="12" t="inlineStr">
        <is>
          <t>20_機能設計書 4.3</t>
        </is>
      </c>
      <c r="K6" s="12" t="inlineStr">
        <is>
          <t>手動</t>
        </is>
      </c>
      <c r="L6" s="12" t="n"/>
      <c r="M6" s="12" t="inlineStr">
        <is>
          <t>OK</t>
        </is>
      </c>
      <c r="N6" s="23" t="n">
        <v>46308</v>
      </c>
      <c r="O6" s="12" t="inlineStr">
        <is>
          <t>佐々木</t>
        </is>
      </c>
      <c r="P6" s="12" t="n"/>
      <c r="Q6" s="15" t="inlineStr">
        <is>
          <t>45_テストエビデンス_画面結合.xlsx／共通</t>
        </is>
      </c>
      <c r="R6" s="12" t="n"/>
      <c r="S6" s="12" t="n"/>
      <c r="T6" s="12" t="n"/>
    </row>
    <row r="7" ht="27" customHeight="1">
      <c r="A7" s="12" t="inlineStr">
        <is>
          <t>IT-NAV-E02</t>
        </is>
      </c>
      <c r="B7" s="12" t="inlineStr">
        <is>
          <t>ログイン状態と画面遷移の制御</t>
        </is>
      </c>
      <c r="C7" s="12" t="inlineStr">
        <is>
          <t>異常系</t>
        </is>
      </c>
      <c r="D7" s="12" t="inlineStr">
        <is>
          <t>未ログインでは、ログインが必要な画面を開けない</t>
        </is>
      </c>
      <c r="E7" s="12" t="inlineStr">
        <is>
          <t>未ログイン</t>
        </is>
      </c>
      <c r="F7" s="12" t="inlineStr">
        <is>
          <t>URL/my/applicationsを直接開く</t>
        </is>
      </c>
      <c r="G7" s="12" t="inlineStr">
        <is>
          <t>SC-010へ遷移する</t>
        </is>
      </c>
      <c r="H7" s="12" t="inlineStr">
        <is>
          <t>-（参照のみ）</t>
        </is>
      </c>
      <c r="I7" s="12" t="inlineStr">
        <is>
          <t>-</t>
        </is>
      </c>
      <c r="J7" s="12" t="inlineStr">
        <is>
          <t>20_機能設計書 4.3</t>
        </is>
      </c>
      <c r="K7" s="12" t="inlineStr">
        <is>
          <t>手動</t>
        </is>
      </c>
      <c r="L7" s="12" t="n"/>
      <c r="M7" s="12" t="inlineStr">
        <is>
          <t>OK</t>
        </is>
      </c>
      <c r="N7" s="23" t="n">
        <v>46308</v>
      </c>
      <c r="O7" s="12" t="inlineStr">
        <is>
          <t>佐々木</t>
        </is>
      </c>
      <c r="P7" s="12" t="n"/>
      <c r="Q7" s="15" t="inlineStr">
        <is>
          <t>45_テストエビデンス_画面結合.xlsx／共通</t>
        </is>
      </c>
      <c r="R7" s="12" t="n"/>
      <c r="S7" s="12" t="n"/>
      <c r="T7" s="12" t="n"/>
    </row>
    <row r="8" ht="27" customHeight="1">
      <c r="A8" s="12" t="inlineStr">
        <is>
          <t>IT-NAV-E03</t>
        </is>
      </c>
      <c r="B8" s="12" t="inlineStr">
        <is>
          <t>ログイン状態と画面遷移の制御</t>
        </is>
      </c>
      <c r="C8" s="12" t="inlineStr">
        <is>
          <t>異常系</t>
        </is>
      </c>
      <c r="D8" s="12" t="inlineStr">
        <is>
          <t>一般利用者は、管理者向けの画面を開けない</t>
        </is>
      </c>
      <c r="E8" s="12" t="inlineStr">
        <is>
          <t>一般ユーザーでログイン</t>
        </is>
      </c>
      <c r="F8" s="12" t="inlineStr">
        <is>
          <t>URL/admin/dashboardを直接開く</t>
        </is>
      </c>
      <c r="G8" s="12" t="inlineStr">
        <is>
          <t>SC-020へ遷移する</t>
        </is>
      </c>
      <c r="H8" s="12" t="inlineStr">
        <is>
          <t>-（参照のみ）</t>
        </is>
      </c>
      <c r="I8" s="12" t="inlineStr">
        <is>
          <t>-</t>
        </is>
      </c>
      <c r="J8" s="12" t="inlineStr">
        <is>
          <t>20_機能設計書 4.3</t>
        </is>
      </c>
      <c r="K8" s="12" t="inlineStr">
        <is>
          <t>手動</t>
        </is>
      </c>
      <c r="L8" s="12" t="n"/>
      <c r="M8" s="12" t="inlineStr">
        <is>
          <t>OK</t>
        </is>
      </c>
      <c r="N8" s="23" t="n">
        <v>46308</v>
      </c>
      <c r="O8" s="12" t="inlineStr">
        <is>
          <t>佐々木</t>
        </is>
      </c>
      <c r="P8" s="12" t="n"/>
      <c r="Q8" s="15" t="inlineStr">
        <is>
          <t>45_テストエビデンス_画面結合.xlsx／共通</t>
        </is>
      </c>
      <c r="R8" s="12" t="n"/>
      <c r="S8" s="12" t="n"/>
      <c r="T8" s="12" t="n"/>
    </row>
    <row r="9" ht="54" customHeight="1">
      <c r="A9" s="12" t="inlineStr">
        <is>
          <t>IT-NAV-E04</t>
        </is>
      </c>
      <c r="B9" s="12" t="inlineStr">
        <is>
          <t>ログイン状態と画面遷移の制御</t>
        </is>
      </c>
      <c r="C9" s="12" t="inlineStr">
        <is>
          <t>異常系</t>
        </is>
      </c>
      <c r="D9" s="12" t="inlineStr">
        <is>
          <t>ログイン状態が無効になると、操作時にログイン画面へ遷移する</t>
        </is>
      </c>
      <c r="E9" s="12" t="inlineStr">
        <is>
          <t>一般ユーザーでログイン。その後、SQLでUPDATE users SET anonymized_at = NOW() WHERE id = 1を実行する</t>
        </is>
      </c>
      <c r="F9" s="12" t="inlineStr">
        <is>
          <t>共通ナビゲーションの「マイページ」を押す</t>
        </is>
      </c>
      <c r="G9" s="12" t="inlineStr">
        <is>
          <t>SC-010へ遷移し、ナビゲーションが未ログインの表示になる</t>
        </is>
      </c>
      <c r="H9" s="12" t="inlineStr">
        <is>
          <t>-（参照のみ）</t>
        </is>
      </c>
      <c r="I9" s="12" t="inlineStr">
        <is>
          <t>-</t>
        </is>
      </c>
      <c r="J9" s="12" t="inlineStr">
        <is>
          <t>24_方式設計書 5.3、33_共通詳細設計書 5.4</t>
        </is>
      </c>
      <c r="K9" s="12" t="inlineStr">
        <is>
          <t>手動</t>
        </is>
      </c>
      <c r="L9" s="12" t="n"/>
      <c r="M9" s="12" t="inlineStr">
        <is>
          <t>OK</t>
        </is>
      </c>
      <c r="N9" s="23" t="n">
        <v>46308</v>
      </c>
      <c r="O9" s="12" t="inlineStr">
        <is>
          <t>佐々木</t>
        </is>
      </c>
      <c r="P9" s="12" t="n"/>
      <c r="Q9" s="15" t="inlineStr">
        <is>
          <t>45_テストエビデンス_画面結合.xlsx／共通</t>
        </is>
      </c>
      <c r="R9" s="12" t="n"/>
      <c r="S9" s="12" t="n"/>
      <c r="T9" s="12" t="n"/>
    </row>
    <row r="10" ht="27" customHeight="1">
      <c r="A10" s="12" t="inlineStr">
        <is>
          <t>IT-SC010-N01</t>
        </is>
      </c>
      <c r="B10" s="12" t="inlineStr">
        <is>
          <t>SC-010 ログイン・利用者登録</t>
        </is>
      </c>
      <c r="C10" s="12" t="inlineStr">
        <is>
          <t>正常系</t>
        </is>
      </c>
      <c r="D10" s="12" t="inlineStr">
        <is>
          <t>一般利用者でログインするとイベント一覧へ遷移する</t>
        </is>
      </c>
      <c r="E10" s="12" t="inlineStr">
        <is>
          <t>TD-00</t>
        </is>
      </c>
      <c r="F10" s="12" t="inlineStr">
        <is>
          <t>メールアドレスgeneral@example.com、パスワードTest1234を入力し「ログイン」を押す</t>
        </is>
      </c>
      <c r="G10" s="12" t="inlineStr">
        <is>
          <t>SC-020へ遷移する</t>
        </is>
      </c>
      <c r="H10" s="12" t="inlineStr">
        <is>
          <t>-（参照のみ）</t>
        </is>
      </c>
      <c r="I10" s="12" t="inlineStr">
        <is>
          <t>-</t>
        </is>
      </c>
      <c r="J10" s="12" t="inlineStr">
        <is>
          <t>SC-010 イベント処理2</t>
        </is>
      </c>
      <c r="K10" s="12" t="inlineStr">
        <is>
          <t>手動</t>
        </is>
      </c>
      <c r="L10" s="12" t="n"/>
      <c r="M10" s="12" t="inlineStr">
        <is>
          <t>OK</t>
        </is>
      </c>
      <c r="N10" s="23" t="n">
        <v>46308</v>
      </c>
      <c r="O10" s="12" t="inlineStr">
        <is>
          <t>佐々木</t>
        </is>
      </c>
      <c r="P10" s="12" t="n"/>
      <c r="Q10" s="15" t="inlineStr">
        <is>
          <t>45_テストエビデンス_画面結合.xlsx／SC-010</t>
        </is>
      </c>
      <c r="R10" s="12" t="n"/>
      <c r="S10" s="12" t="n"/>
      <c r="T10" s="12" t="n"/>
    </row>
    <row r="11" ht="27" customHeight="1">
      <c r="A11" s="12" t="inlineStr">
        <is>
          <t>IT-SC010-N02</t>
        </is>
      </c>
      <c r="B11" s="12" t="inlineStr">
        <is>
          <t>SC-010 ログイン・利用者登録</t>
        </is>
      </c>
      <c r="C11" s="12" t="inlineStr">
        <is>
          <t>正常系</t>
        </is>
      </c>
      <c r="D11" s="12" t="inlineStr">
        <is>
          <t>管理者でログインするとダッシュボードへ遷移する</t>
        </is>
      </c>
      <c r="E11" s="12" t="inlineStr">
        <is>
          <t>TD-00</t>
        </is>
      </c>
      <c r="F11" s="12" t="inlineStr">
        <is>
          <t>メールアドレスadmin@example.com、パスワードTest1234を入力し「ログイン」を押す</t>
        </is>
      </c>
      <c r="G11" s="12" t="inlineStr">
        <is>
          <t>SC-110へ遷移する</t>
        </is>
      </c>
      <c r="H11" s="12" t="inlineStr">
        <is>
          <t>-（参照のみ）</t>
        </is>
      </c>
      <c r="I11" s="12" t="inlineStr">
        <is>
          <t>-</t>
        </is>
      </c>
      <c r="J11" s="12" t="inlineStr">
        <is>
          <t>SC-010 イベント処理2</t>
        </is>
      </c>
      <c r="K11" s="12" t="inlineStr">
        <is>
          <t>手動</t>
        </is>
      </c>
      <c r="L11" s="12" t="n"/>
      <c r="M11" s="12" t="inlineStr">
        <is>
          <t>OK</t>
        </is>
      </c>
      <c r="N11" s="23" t="n">
        <v>46308</v>
      </c>
      <c r="O11" s="12" t="inlineStr">
        <is>
          <t>佐々木</t>
        </is>
      </c>
      <c r="P11" s="12" t="n"/>
      <c r="Q11" s="15" t="inlineStr">
        <is>
          <t>45_テストエビデンス_画面結合.xlsx／SC-010</t>
        </is>
      </c>
      <c r="R11" s="12" t="n"/>
      <c r="S11" s="12" t="n"/>
      <c r="T11" s="12" t="n"/>
    </row>
    <row r="12" ht="27" customHeight="1">
      <c r="A12" s="12" t="inlineStr">
        <is>
          <t>IT-SC010-N03</t>
        </is>
      </c>
      <c r="B12" s="12" t="inlineStr">
        <is>
          <t>SC-010 ログイン・利用者登録</t>
        </is>
      </c>
      <c r="C12" s="12" t="inlineStr">
        <is>
          <t>正常系</t>
        </is>
      </c>
      <c r="D12" s="12" t="inlineStr">
        <is>
          <t>パスワード欄は入力した文字が伏せて表示される</t>
        </is>
      </c>
      <c r="E12" s="12" t="inlineStr">
        <is>
          <t>-</t>
        </is>
      </c>
      <c r="F12" s="12" t="inlineStr">
        <is>
          <t>ログインのパスワード欄にTest1234と入力する</t>
        </is>
      </c>
      <c r="G12" s="12" t="inlineStr">
        <is>
          <t>入力した文字が「●」で表示される</t>
        </is>
      </c>
      <c r="H12" s="12" t="inlineStr">
        <is>
          <t>-（参照のみ）</t>
        </is>
      </c>
      <c r="I12" s="12" t="inlineStr">
        <is>
          <t>-</t>
        </is>
      </c>
      <c r="J12" s="12" t="inlineStr">
        <is>
          <t>SC-010 項目②</t>
        </is>
      </c>
      <c r="K12" s="12" t="inlineStr">
        <is>
          <t>手動</t>
        </is>
      </c>
      <c r="L12" s="12" t="n"/>
      <c r="M12" s="12" t="inlineStr">
        <is>
          <t>OK</t>
        </is>
      </c>
      <c r="N12" s="23" t="n">
        <v>46308</v>
      </c>
      <c r="O12" s="12" t="inlineStr">
        <is>
          <t>佐々木</t>
        </is>
      </c>
      <c r="P12" s="12" t="n"/>
      <c r="Q12" s="15" t="inlineStr">
        <is>
          <t>45_テストエビデンス_画面結合.xlsx／SC-010</t>
        </is>
      </c>
      <c r="R12" s="12" t="n"/>
      <c r="S12" s="12" t="n"/>
      <c r="T12" s="12" t="n"/>
    </row>
    <row r="13" ht="27" customHeight="1">
      <c r="A13" s="12" t="inlineStr">
        <is>
          <t>IT-SC010-N04</t>
        </is>
      </c>
      <c r="B13" s="12" t="inlineStr">
        <is>
          <t>SC-010 ログイン・利用者登録</t>
        </is>
      </c>
      <c r="C13" s="12" t="inlineStr">
        <is>
          <t>正常系</t>
        </is>
      </c>
      <c r="D13" s="12" t="inlineStr">
        <is>
          <t>新規登録すると、そのままログイン状態になる</t>
        </is>
      </c>
      <c r="E13" s="12" t="inlineStr">
        <is>
          <t>未登録のメールアドレス</t>
        </is>
      </c>
      <c r="F13" s="12" t="inlineStr">
        <is>
          <t>名前・メールアドレス・パスワードTest1234を入力し「登録してログイン」を押す</t>
        </is>
      </c>
      <c r="G13" s="12" t="inlineStr">
        <is>
          <t>SC-020へ遷移する</t>
        </is>
      </c>
      <c r="H13" s="12" t="inlineStr">
        <is>
          <t>usersに1行追加される（role_code=1、password_hashがハッシュ値）</t>
        </is>
      </c>
      <c r="I13" s="12" t="inlineStr">
        <is>
          <t>【操作の前と後に実行し、期待結果のとおりであることを確認する】
SELECT id, name, email, role_code, password_hash, anonymized_at, updated_at FROM users ORDER BY id;</t>
        </is>
      </c>
      <c r="J13" s="12" t="inlineStr">
        <is>
          <t>SC-010 イベント処理3</t>
        </is>
      </c>
      <c r="K13" s="12" t="inlineStr">
        <is>
          <t>手動</t>
        </is>
      </c>
      <c r="L13" s="12" t="n"/>
      <c r="M13" s="12" t="inlineStr">
        <is>
          <t>OK</t>
        </is>
      </c>
      <c r="N13" s="23" t="n">
        <v>46308</v>
      </c>
      <c r="O13" s="12" t="inlineStr">
        <is>
          <t>佐々木</t>
        </is>
      </c>
      <c r="P13" s="12" t="n"/>
      <c r="Q13" s="15" t="inlineStr">
        <is>
          <t>45_テストエビデンス_画面結合.xlsx／SC-010</t>
        </is>
      </c>
      <c r="R13" s="12" t="n"/>
      <c r="S13" s="12" t="n"/>
      <c r="T13" s="12" t="n"/>
    </row>
    <row r="14" ht="27" customHeight="1">
      <c r="A14" s="12" t="inlineStr">
        <is>
          <t>IT-SC010-E01</t>
        </is>
      </c>
      <c r="B14" s="12" t="inlineStr">
        <is>
          <t>SC-010 ログイン・利用者登録</t>
        </is>
      </c>
      <c r="C14" s="12" t="inlineStr">
        <is>
          <t>異常系</t>
        </is>
      </c>
      <c r="D14" s="12" t="inlineStr">
        <is>
          <t>メールアドレスが未入力だと、APIを呼ばずにメッセージを表示する</t>
        </is>
      </c>
      <c r="E14" s="12" t="inlineStr">
        <is>
          <t>-</t>
        </is>
      </c>
      <c r="F14" s="12" t="inlineStr">
        <is>
          <t>メールアドレスを空のまま「ログイン」を押す</t>
        </is>
      </c>
      <c r="G14" s="12" t="inlineStr">
        <is>
          <t>「メールアドレスを入力してください。」が表示される。Networkタブに/api/loginの通信が出ない</t>
        </is>
      </c>
      <c r="H14" s="12" t="inlineStr">
        <is>
          <t>-（参照のみ）</t>
        </is>
      </c>
      <c r="I14" s="12" t="inlineStr">
        <is>
          <t>-</t>
        </is>
      </c>
      <c r="J14" s="12" t="inlineStr">
        <is>
          <t>SC-010 イベント処理2</t>
        </is>
      </c>
      <c r="K14" s="12" t="inlineStr">
        <is>
          <t>手動</t>
        </is>
      </c>
      <c r="L14" s="12" t="n"/>
      <c r="M14" s="12" t="inlineStr">
        <is>
          <t>OK</t>
        </is>
      </c>
      <c r="N14" s="23" t="n">
        <v>46308</v>
      </c>
      <c r="O14" s="12" t="inlineStr">
        <is>
          <t>佐々木</t>
        </is>
      </c>
      <c r="P14" s="12" t="n"/>
      <c r="Q14" s="15" t="inlineStr">
        <is>
          <t>45_テストエビデンス_画面結合.xlsx／SC-010</t>
        </is>
      </c>
      <c r="R14" s="12" t="n"/>
      <c r="S14" s="12" t="n"/>
      <c r="T14" s="12" t="n"/>
    </row>
    <row r="15" ht="27" customHeight="1">
      <c r="A15" s="12" t="inlineStr">
        <is>
          <t>IT-SC010-E02</t>
        </is>
      </c>
      <c r="B15" s="12" t="inlineStr">
        <is>
          <t>SC-010 ログイン・利用者登録</t>
        </is>
      </c>
      <c r="C15" s="12" t="inlineStr">
        <is>
          <t>異常系</t>
        </is>
      </c>
      <c r="D15" s="12" t="inlineStr">
        <is>
          <t>パスワードが未入力だと、APIを呼ばずにメッセージを表示する</t>
        </is>
      </c>
      <c r="E15" s="12" t="inlineStr">
        <is>
          <t>-</t>
        </is>
      </c>
      <c r="F15" s="12" t="inlineStr">
        <is>
          <t>メールアドレスだけ入力して「ログイン」を押す</t>
        </is>
      </c>
      <c r="G15" s="12" t="inlineStr">
        <is>
          <t>「パスワードを入力してください。」が表示される。Networkタブに/api/loginの通信が出ない</t>
        </is>
      </c>
      <c r="H15" s="12" t="inlineStr">
        <is>
          <t>-（参照のみ）</t>
        </is>
      </c>
      <c r="I15" s="12" t="inlineStr">
        <is>
          <t>-</t>
        </is>
      </c>
      <c r="J15" s="12" t="inlineStr">
        <is>
          <t>SC-010 イベント処理2</t>
        </is>
      </c>
      <c r="K15" s="12" t="inlineStr">
        <is>
          <t>手動</t>
        </is>
      </c>
      <c r="L15" s="12" t="n"/>
      <c r="M15" s="12" t="inlineStr">
        <is>
          <t>OK</t>
        </is>
      </c>
      <c r="N15" s="23" t="n">
        <v>46308</v>
      </c>
      <c r="O15" s="12" t="inlineStr">
        <is>
          <t>佐々木</t>
        </is>
      </c>
      <c r="P15" s="12" t="n"/>
      <c r="Q15" s="15" t="inlineStr">
        <is>
          <t>45_テストエビデンス_画面結合.xlsx／SC-010</t>
        </is>
      </c>
      <c r="R15" s="12" t="n"/>
      <c r="S15" s="12" t="n"/>
      <c r="T15" s="12" t="n"/>
    </row>
    <row r="16" ht="40.5" customHeight="1">
      <c r="A16" s="12" t="inlineStr">
        <is>
          <t>IT-SC010-E03</t>
        </is>
      </c>
      <c r="B16" s="12" t="inlineStr">
        <is>
          <t>SC-010 ログイン・利用者登録</t>
        </is>
      </c>
      <c r="C16" s="12" t="inlineStr">
        <is>
          <t>異常系</t>
        </is>
      </c>
      <c r="D16" s="12" t="inlineStr">
        <is>
          <t>パスワードを誤るとログインできない</t>
        </is>
      </c>
      <c r="E16" s="12" t="inlineStr">
        <is>
          <t>TD-00</t>
        </is>
      </c>
      <c r="F16" s="12" t="inlineStr">
        <is>
          <t>general@example.comとWrong1234を入力し「ログイン」を押す</t>
        </is>
      </c>
      <c r="G16" s="12" t="inlineStr">
        <is>
          <t>「ログインできませんでした。入力内容をご確認のうえ、初めてご利用の場合は新規登録してください」が表示され、SC-010のまま遷移しない</t>
        </is>
      </c>
      <c r="H16" s="12" t="inlineStr">
        <is>
          <t>-（参照のみ）</t>
        </is>
      </c>
      <c r="I16" s="12" t="inlineStr">
        <is>
          <t>-</t>
        </is>
      </c>
      <c r="J16" s="12" t="inlineStr">
        <is>
          <t>E-A-006</t>
        </is>
      </c>
      <c r="K16" s="12" t="inlineStr">
        <is>
          <t>手動</t>
        </is>
      </c>
      <c r="L16" s="12" t="n"/>
      <c r="M16" s="12" t="inlineStr">
        <is>
          <t>OK</t>
        </is>
      </c>
      <c r="N16" s="23" t="n">
        <v>46308</v>
      </c>
      <c r="O16" s="12" t="inlineStr">
        <is>
          <t>佐々木</t>
        </is>
      </c>
      <c r="P16" s="12" t="n"/>
      <c r="Q16" s="15" t="inlineStr">
        <is>
          <t>45_テストエビデンス_画面結合.xlsx／SC-010</t>
        </is>
      </c>
      <c r="R16" s="12" t="n"/>
      <c r="S16" s="12" t="n"/>
      <c r="T16" s="12" t="n"/>
    </row>
    <row r="17" ht="27" customHeight="1">
      <c r="A17" s="12" t="inlineStr">
        <is>
          <t>IT-SC010-E04</t>
        </is>
      </c>
      <c r="B17" s="12" t="inlineStr">
        <is>
          <t>SC-010 ログイン・利用者登録</t>
        </is>
      </c>
      <c r="C17" s="12" t="inlineStr">
        <is>
          <t>異常系</t>
        </is>
      </c>
      <c r="D17" s="12" t="inlineStr">
        <is>
          <t>未登録のメールアドレスではログインできない（パスワードの誤りと同じ文言）</t>
        </is>
      </c>
      <c r="E17" s="12" t="inlineStr">
        <is>
          <t>-</t>
        </is>
      </c>
      <c r="F17" s="12" t="inlineStr">
        <is>
          <t>nobody@example.comとTest1234を入力し「ログイン」を押す</t>
        </is>
      </c>
      <c r="G17" s="12" t="inlineStr">
        <is>
          <t>パスワードを誤った場合と同じメッセージが表示され、遷移しない</t>
        </is>
      </c>
      <c r="H17" s="12" t="inlineStr">
        <is>
          <t>-（参照のみ）</t>
        </is>
      </c>
      <c r="I17" s="12" t="inlineStr">
        <is>
          <t>-</t>
        </is>
      </c>
      <c r="J17" s="12" t="inlineStr">
        <is>
          <t>24_方式設計書 3.5</t>
        </is>
      </c>
      <c r="K17" s="12" t="inlineStr">
        <is>
          <t>手動</t>
        </is>
      </c>
      <c r="L17" s="12" t="n"/>
      <c r="M17" s="12" t="inlineStr">
        <is>
          <t>OK</t>
        </is>
      </c>
      <c r="N17" s="23" t="n">
        <v>46308</v>
      </c>
      <c r="O17" s="12" t="inlineStr">
        <is>
          <t>佐々木</t>
        </is>
      </c>
      <c r="P17" s="12" t="n"/>
      <c r="Q17" s="15" t="inlineStr">
        <is>
          <t>45_テストエビデンス_画面結合.xlsx／SC-010</t>
        </is>
      </c>
      <c r="R17" s="12" t="n"/>
      <c r="S17" s="12" t="n"/>
      <c r="T17" s="12" t="n"/>
    </row>
    <row r="18" ht="27" customHeight="1">
      <c r="A18" s="12" t="inlineStr">
        <is>
          <t>IT-SC010-E05</t>
        </is>
      </c>
      <c r="B18" s="12" t="inlineStr">
        <is>
          <t>SC-010 ログイン・利用者登録</t>
        </is>
      </c>
      <c r="C18" s="12" t="inlineStr">
        <is>
          <t>異常系</t>
        </is>
      </c>
      <c r="D18" s="12" t="inlineStr">
        <is>
          <t>登録済みのメールアドレスでは新規登録できない</t>
        </is>
      </c>
      <c r="E18" s="12" t="inlineStr">
        <is>
          <t>TD-00</t>
        </is>
      </c>
      <c r="F18" s="12" t="inlineStr">
        <is>
          <t>新規登録欄にgeneral@example.comを入力し「登録してログイン」を押す</t>
        </is>
      </c>
      <c r="G18" s="12" t="inlineStr">
        <is>
          <t>「この内容では登録できませんでした。ログインをお試しください」が表示され、遷移しない</t>
        </is>
      </c>
      <c r="H18" s="12" t="inlineStr">
        <is>
          <t>usersの行数は変わらない</t>
        </is>
      </c>
      <c r="I18" s="12" t="inlineStr">
        <is>
          <t>【操作の前と後に実行し、結果が同じことを確認する】
SELECT * FROM users ORDER BY id;</t>
        </is>
      </c>
      <c r="J18" s="12" t="inlineStr">
        <is>
          <t>E-B-015</t>
        </is>
      </c>
      <c r="K18" s="12" t="inlineStr">
        <is>
          <t>手動</t>
        </is>
      </c>
      <c r="L18" s="12" t="n"/>
      <c r="M18" s="12" t="inlineStr">
        <is>
          <t>OK</t>
        </is>
      </c>
      <c r="N18" s="23" t="n">
        <v>46308</v>
      </c>
      <c r="O18" s="12" t="inlineStr">
        <is>
          <t>佐々木</t>
        </is>
      </c>
      <c r="P18" s="12" t="n"/>
      <c r="Q18" s="15" t="inlineStr">
        <is>
          <t>45_テストエビデンス_画面結合.xlsx／SC-010</t>
        </is>
      </c>
      <c r="R18" s="12" t="n"/>
      <c r="S18" s="12" t="n"/>
      <c r="T18" s="12" t="n"/>
    </row>
    <row r="19" ht="40.5" customHeight="1">
      <c r="A19" s="12" t="inlineStr">
        <is>
          <t>IT-SC010-E06</t>
        </is>
      </c>
      <c r="B19" s="12" t="inlineStr">
        <is>
          <t>SC-010 ログイン・利用者登録</t>
        </is>
      </c>
      <c r="C19" s="12" t="inlineStr">
        <is>
          <t>異常系</t>
        </is>
      </c>
      <c r="D19" s="12" t="inlineStr">
        <is>
          <t>条件を満たさないパスワードでは新規登録できない</t>
        </is>
      </c>
      <c r="E19" s="12" t="inlineStr">
        <is>
          <t>未登録のメールアドレス</t>
        </is>
      </c>
      <c r="F19" s="12" t="inlineStr">
        <is>
          <t>新規登録欄のパスワードにShort1を入力し「登録してログイン」を押す</t>
        </is>
      </c>
      <c r="G19" s="12" t="inlineStr">
        <is>
          <t>パスワード欄の下に「パスワードは8文字以上72文字以下で、英字と数字をそれぞれ1文字以上含めてください」が表示される</t>
        </is>
      </c>
      <c r="H19" s="12" t="inlineStr">
        <is>
          <t>usersの行数は変わらない</t>
        </is>
      </c>
      <c r="I19" s="12" t="inlineStr">
        <is>
          <t>【操作の前と後に実行し、結果が同じことを確認する】
SELECT * FROM users ORDER BY id;</t>
        </is>
      </c>
      <c r="J19" s="12" t="inlineStr">
        <is>
          <t>E-V-025</t>
        </is>
      </c>
      <c r="K19" s="12" t="inlineStr">
        <is>
          <t>手動</t>
        </is>
      </c>
      <c r="L19" s="12" t="n"/>
      <c r="M19" s="12" t="inlineStr">
        <is>
          <t>OK</t>
        </is>
      </c>
      <c r="N19" s="23" t="n">
        <v>46308</v>
      </c>
      <c r="O19" s="12" t="inlineStr">
        <is>
          <t>佐々木</t>
        </is>
      </c>
      <c r="P19" s="12" t="n"/>
      <c r="Q19" s="15" t="inlineStr">
        <is>
          <t>45_テストエビデンス_画面結合.xlsx／SC-010</t>
        </is>
      </c>
      <c r="R19" s="12" t="n"/>
      <c r="S19" s="12" t="n"/>
      <c r="T19" s="12" t="n"/>
    </row>
    <row r="20" ht="40.5" customHeight="1">
      <c r="A20" s="12" t="inlineStr">
        <is>
          <t>IT-SC011-N01</t>
        </is>
      </c>
      <c r="B20" s="12" t="inlineStr">
        <is>
          <t>SC-011 パスワード変更</t>
        </is>
      </c>
      <c r="C20" s="12" t="inlineStr">
        <is>
          <t>正常系</t>
        </is>
      </c>
      <c r="D20" s="12" t="inlineStr">
        <is>
          <t>パスワードを変更できる</t>
        </is>
      </c>
      <c r="E20" s="12" t="inlineStr">
        <is>
          <t>一般ユーザーでログイン</t>
        </is>
      </c>
      <c r="F20" s="12" t="inlineStr">
        <is>
          <t>現在のパスワードTest1234、新しいパスワードと確認用にNewPass5678を入力し「変更する」を押す</t>
        </is>
      </c>
      <c r="G20" s="12" t="inlineStr">
        <is>
          <t>「パスワードを変更しました。」が表示され、3つの入力欄が空になる。ログイン状態は維持される</t>
        </is>
      </c>
      <c r="H20" s="12" t="inlineStr">
        <is>
          <t>ID=1のusers.password_hashが変更前と異なる値になる</t>
        </is>
      </c>
      <c r="I20" s="12" t="inlineStr">
        <is>
          <t>【操作の前と後に実行し、期待結果のとおりであることを確認する】
SELECT id, name, email, role_code, password_hash, anonymized_at, updated_at FROM users ORDER BY id;</t>
        </is>
      </c>
      <c r="J20" s="12" t="inlineStr">
        <is>
          <t>SC-011 イベント処理2</t>
        </is>
      </c>
      <c r="K20" s="12" t="inlineStr">
        <is>
          <t>手動</t>
        </is>
      </c>
      <c r="L20" s="12" t="n"/>
      <c r="M20" s="12" t="inlineStr">
        <is>
          <t>OK</t>
        </is>
      </c>
      <c r="N20" s="23" t="n">
        <v>46308</v>
      </c>
      <c r="O20" s="12" t="inlineStr">
        <is>
          <t>佐々木</t>
        </is>
      </c>
      <c r="P20" s="12" t="n"/>
      <c r="Q20" s="15" t="inlineStr">
        <is>
          <t>45_テストエビデンス_画面結合.xlsx／SC-011</t>
        </is>
      </c>
      <c r="R20" s="12" t="n"/>
      <c r="S20" s="12" t="n"/>
      <c r="T20" s="12" t="n"/>
    </row>
    <row r="21" ht="27" customHeight="1">
      <c r="A21" s="12" t="inlineStr">
        <is>
          <t>IT-SC011-N02</t>
        </is>
      </c>
      <c r="B21" s="12" t="inlineStr">
        <is>
          <t>SC-011 パスワード変更</t>
        </is>
      </c>
      <c r="C21" s="12" t="inlineStr">
        <is>
          <t>正常系</t>
        </is>
      </c>
      <c r="D21" s="12" t="inlineStr">
        <is>
          <t>変更後は新しいパスワードでログインできる</t>
        </is>
      </c>
      <c r="E21" s="12" t="inlineStr">
        <is>
          <t>上記の変更を行った後</t>
        </is>
      </c>
      <c r="F21" s="12" t="inlineStr">
        <is>
          <t>ログアウトし、general@example.comとNewPass5678でログインする</t>
        </is>
      </c>
      <c r="G21" s="12" t="inlineStr">
        <is>
          <t>SC-020へ遷移する</t>
        </is>
      </c>
      <c r="H21" s="12" t="inlineStr">
        <is>
          <t>-（参照のみ）</t>
        </is>
      </c>
      <c r="I21" s="12" t="inlineStr">
        <is>
          <t>-</t>
        </is>
      </c>
      <c r="J21" s="12" t="inlineStr">
        <is>
          <t>R-23</t>
        </is>
      </c>
      <c r="K21" s="12" t="inlineStr">
        <is>
          <t>手動</t>
        </is>
      </c>
      <c r="L21" s="12" t="n"/>
      <c r="M21" s="12" t="inlineStr">
        <is>
          <t>OK</t>
        </is>
      </c>
      <c r="N21" s="23" t="n">
        <v>46308</v>
      </c>
      <c r="O21" s="12" t="inlineStr">
        <is>
          <t>佐々木</t>
        </is>
      </c>
      <c r="P21" s="12" t="n"/>
      <c r="Q21" s="15" t="inlineStr">
        <is>
          <t>45_テストエビデンス_画面結合.xlsx／SC-011</t>
        </is>
      </c>
      <c r="R21" s="12" t="n"/>
      <c r="S21" s="12" t="n"/>
      <c r="T21" s="12" t="n"/>
    </row>
    <row r="22" ht="13.5" customHeight="1">
      <c r="A22" s="12" t="inlineStr">
        <is>
          <t>IT-SC011-N03</t>
        </is>
      </c>
      <c r="B22" s="12" t="inlineStr">
        <is>
          <t>SC-011 パスワード変更</t>
        </is>
      </c>
      <c r="C22" s="12" t="inlineStr">
        <is>
          <t>正常系</t>
        </is>
      </c>
      <c r="D22" s="12" t="inlineStr">
        <is>
          <t>管理者もパスワード変更画面を開ける</t>
        </is>
      </c>
      <c r="E22" s="12" t="inlineStr">
        <is>
          <t>管理者でログイン</t>
        </is>
      </c>
      <c r="F22" s="12" t="inlineStr">
        <is>
          <t>共通ナビゲーションの「パスワード変更」を押す</t>
        </is>
      </c>
      <c r="G22" s="12" t="inlineStr">
        <is>
          <t>SC-011が表示される</t>
        </is>
      </c>
      <c r="H22" s="12" t="inlineStr">
        <is>
          <t>-（参照のみ）</t>
        </is>
      </c>
      <c r="I22" s="12" t="inlineStr">
        <is>
          <t>-</t>
        </is>
      </c>
      <c r="J22" s="12" t="inlineStr">
        <is>
          <t>20_機能設計書 4.3</t>
        </is>
      </c>
      <c r="K22" s="12" t="inlineStr">
        <is>
          <t>手動</t>
        </is>
      </c>
      <c r="L22" s="12" t="n"/>
      <c r="M22" s="12" t="inlineStr">
        <is>
          <t>OK</t>
        </is>
      </c>
      <c r="N22" s="23" t="n">
        <v>46308</v>
      </c>
      <c r="O22" s="12" t="inlineStr">
        <is>
          <t>佐々木</t>
        </is>
      </c>
      <c r="P22" s="12" t="n"/>
      <c r="Q22" s="15" t="inlineStr">
        <is>
          <t>45_テストエビデンス_画面結合.xlsx／SC-011</t>
        </is>
      </c>
      <c r="R22" s="12" t="n"/>
      <c r="S22" s="12" t="n"/>
      <c r="T22" s="12" t="n"/>
    </row>
    <row r="23" ht="27" customHeight="1">
      <c r="A23" s="12" t="inlineStr">
        <is>
          <t>IT-SC011-E01</t>
        </is>
      </c>
      <c r="B23" s="12" t="inlineStr">
        <is>
          <t>SC-011 パスワード変更</t>
        </is>
      </c>
      <c r="C23" s="12" t="inlineStr">
        <is>
          <t>異常系</t>
        </is>
      </c>
      <c r="D23" s="12" t="inlineStr">
        <is>
          <t>未入力の項目があると、APIを呼ばずにメッセージを表示する</t>
        </is>
      </c>
      <c r="E23" s="12" t="inlineStr">
        <is>
          <t>一般ユーザーでログイン</t>
        </is>
      </c>
      <c r="F23" s="12" t="inlineStr">
        <is>
          <t>確認用を空のまま「変更する」を押す</t>
        </is>
      </c>
      <c r="G23" s="12" t="inlineStr">
        <is>
          <t>「すべての項目を入力してください。」が表示される。Networkタブに/api/my/passwordの通信が出ない</t>
        </is>
      </c>
      <c r="H23" s="12" t="inlineStr">
        <is>
          <t>ID=1のusers.password_hashは変更されない</t>
        </is>
      </c>
      <c r="I23" s="12" t="inlineStr">
        <is>
          <t>【操作の前と後に実行し、結果が同じことを確認する】
SELECT * FROM users ORDER BY id;</t>
        </is>
      </c>
      <c r="J23" s="12" t="inlineStr">
        <is>
          <t>SC-011 イベント処理2</t>
        </is>
      </c>
      <c r="K23" s="12" t="inlineStr">
        <is>
          <t>手動</t>
        </is>
      </c>
      <c r="L23" s="12" t="n"/>
      <c r="M23" s="12" t="inlineStr">
        <is>
          <t>OK</t>
        </is>
      </c>
      <c r="N23" s="23" t="n">
        <v>46308</v>
      </c>
      <c r="O23" s="12" t="inlineStr">
        <is>
          <t>佐々木</t>
        </is>
      </c>
      <c r="P23" s="12" t="n"/>
      <c r="Q23" s="15" t="inlineStr">
        <is>
          <t>45_テストエビデンス_画面結合.xlsx／SC-011</t>
        </is>
      </c>
      <c r="R23" s="12" t="n"/>
      <c r="S23" s="12" t="n"/>
      <c r="T23" s="12" t="n"/>
    </row>
    <row r="24" ht="27" customHeight="1">
      <c r="A24" s="12" t="inlineStr">
        <is>
          <t>IT-SC011-E02</t>
        </is>
      </c>
      <c r="B24" s="12" t="inlineStr">
        <is>
          <t>SC-011 パスワード変更</t>
        </is>
      </c>
      <c r="C24" s="12" t="inlineStr">
        <is>
          <t>異常系</t>
        </is>
      </c>
      <c r="D24" s="12" t="inlineStr">
        <is>
          <t>新しいパスワードと確認用が一致しないと、APIを呼ばずにメッセージを表示する</t>
        </is>
      </c>
      <c r="E24" s="12" t="inlineStr">
        <is>
          <t>一般ユーザーでログイン</t>
        </is>
      </c>
      <c r="F24" s="12" t="inlineStr">
        <is>
          <t>新しいパスワードにNewPass5678、確認用にNewPass9999を入力し「変更する」を押す</t>
        </is>
      </c>
      <c r="G24" s="12" t="inlineStr">
        <is>
          <t>「新しいパスワードが一致しません。」が表示される。Networkタブに通信が出ない</t>
        </is>
      </c>
      <c r="H24" s="12" t="inlineStr">
        <is>
          <t>ID=1のusers.password_hashは変更されない</t>
        </is>
      </c>
      <c r="I24" s="12" t="inlineStr">
        <is>
          <t>【操作の前と後に実行し、結果が同じことを確認する】
SELECT * FROM users ORDER BY id;</t>
        </is>
      </c>
      <c r="J24" s="12" t="inlineStr">
        <is>
          <t>SC-011 イベント処理2</t>
        </is>
      </c>
      <c r="K24" s="12" t="inlineStr">
        <is>
          <t>手動</t>
        </is>
      </c>
      <c r="L24" s="12" t="n"/>
      <c r="M24" s="12" t="inlineStr">
        <is>
          <t>OK</t>
        </is>
      </c>
      <c r="N24" s="23" t="n">
        <v>46308</v>
      </c>
      <c r="O24" s="12" t="inlineStr">
        <is>
          <t>佐々木</t>
        </is>
      </c>
      <c r="P24" s="12" t="n"/>
      <c r="Q24" s="15" t="inlineStr">
        <is>
          <t>45_テストエビデンス_画面結合.xlsx／SC-011</t>
        </is>
      </c>
      <c r="R24" s="12" t="n"/>
      <c r="S24" s="12" t="n"/>
      <c r="T24" s="12" t="n"/>
    </row>
    <row r="25" ht="27" customHeight="1">
      <c r="A25" s="12" t="inlineStr">
        <is>
          <t>IT-SC011-E03</t>
        </is>
      </c>
      <c r="B25" s="12" t="inlineStr">
        <is>
          <t>SC-011 パスワード変更</t>
        </is>
      </c>
      <c r="C25" s="12" t="inlineStr">
        <is>
          <t>異常系</t>
        </is>
      </c>
      <c r="D25" s="12" t="inlineStr">
        <is>
          <t>現在のパスワードを誤ると変更できない</t>
        </is>
      </c>
      <c r="E25" s="12" t="inlineStr">
        <is>
          <t>一般ユーザーでログイン</t>
        </is>
      </c>
      <c r="F25" s="12" t="inlineStr">
        <is>
          <t>現在のパスワードにWrong1234を入力し、他を正しく入力して「変更する」を押す</t>
        </is>
      </c>
      <c r="G25" s="12" t="inlineStr">
        <is>
          <t>「現在のパスワードが正しくありません」が表示される</t>
        </is>
      </c>
      <c r="H25" s="12" t="inlineStr">
        <is>
          <t>ID=1のusers.password_hashは変更されない</t>
        </is>
      </c>
      <c r="I25" s="12" t="inlineStr">
        <is>
          <t>【操作の前と後に実行し、結果が同じことを確認する】
SELECT * FROM users ORDER BY id;</t>
        </is>
      </c>
      <c r="J25" s="12" t="inlineStr">
        <is>
          <t>E-B-023</t>
        </is>
      </c>
      <c r="K25" s="12" t="inlineStr">
        <is>
          <t>手動</t>
        </is>
      </c>
      <c r="L25" s="12" t="n"/>
      <c r="M25" s="12" t="inlineStr">
        <is>
          <t>OK</t>
        </is>
      </c>
      <c r="N25" s="23" t="n">
        <v>46308</v>
      </c>
      <c r="O25" s="12" t="inlineStr">
        <is>
          <t>佐々木</t>
        </is>
      </c>
      <c r="P25" s="12" t="n"/>
      <c r="Q25" s="15" t="inlineStr">
        <is>
          <t>45_テストエビデンス_画面結合.xlsx／SC-011</t>
        </is>
      </c>
      <c r="R25" s="12" t="n"/>
      <c r="S25" s="12" t="n"/>
      <c r="T25" s="12" t="n"/>
    </row>
    <row r="26" ht="27" customHeight="1">
      <c r="A26" s="12" t="inlineStr">
        <is>
          <t>IT-SC011-E04</t>
        </is>
      </c>
      <c r="B26" s="12" t="inlineStr">
        <is>
          <t>SC-011 パスワード変更</t>
        </is>
      </c>
      <c r="C26" s="12" t="inlineStr">
        <is>
          <t>異常系</t>
        </is>
      </c>
      <c r="D26" s="12" t="inlineStr">
        <is>
          <t>新しいパスワードが条件を満たさないと変更できない</t>
        </is>
      </c>
      <c r="E26" s="12" t="inlineStr">
        <is>
          <t>一般ユーザーでログイン</t>
        </is>
      </c>
      <c r="F26" s="12" t="inlineStr">
        <is>
          <t>新しいパスワードと確認用にShort1を入力し「変更する」を押す</t>
        </is>
      </c>
      <c r="G26" s="12" t="inlineStr">
        <is>
          <t>新しいパスワード欄の下に条件のエラーメッセージが表示される</t>
        </is>
      </c>
      <c r="H26" s="12" t="inlineStr">
        <is>
          <t>ID=1のusers.password_hashは変更されない</t>
        </is>
      </c>
      <c r="I26" s="12" t="inlineStr">
        <is>
          <t>【操作の前と後に実行し、結果が同じことを確認する】
SELECT * FROM users ORDER BY id;</t>
        </is>
      </c>
      <c r="J26" s="12" t="inlineStr">
        <is>
          <t>E-V-027</t>
        </is>
      </c>
      <c r="K26" s="12" t="inlineStr">
        <is>
          <t>手動</t>
        </is>
      </c>
      <c r="L26" s="12" t="n"/>
      <c r="M26" s="12" t="inlineStr">
        <is>
          <t>OK</t>
        </is>
      </c>
      <c r="N26" s="23" t="n">
        <v>46308</v>
      </c>
      <c r="O26" s="12" t="inlineStr">
        <is>
          <t>佐々木</t>
        </is>
      </c>
      <c r="P26" s="12" t="n"/>
      <c r="Q26" s="15" t="inlineStr">
        <is>
          <t>45_テストエビデンス_画面結合.xlsx／SC-011</t>
        </is>
      </c>
      <c r="R26" s="12" t="n"/>
      <c r="S26" s="12" t="n"/>
      <c r="T26" s="12" t="n"/>
    </row>
    <row r="27" ht="40.5" customHeight="1">
      <c r="A27" s="12" t="inlineStr">
        <is>
          <t>IT-SC020-N01</t>
        </is>
      </c>
      <c r="B27" s="12" t="inlineStr">
        <is>
          <t>SC-020 イベント一覧</t>
        </is>
      </c>
      <c r="C27" s="12" t="inlineStr">
        <is>
          <t>正常系</t>
        </is>
      </c>
      <c r="D27" s="12" t="inlineStr">
        <is>
          <t>イベントが一覧表示される</t>
        </is>
      </c>
      <c r="E27" s="12" t="inlineStr">
        <is>
          <t>一般ユーザーでログイン</t>
        </is>
      </c>
      <c r="F27" s="12" t="inlineStr">
        <is>
          <t>SC-020を開く</t>
        </is>
      </c>
      <c r="G27" s="12" t="inlineStr">
        <is>
          <t>各カードにイベント名・受付状況・お気に入りの状態と件数・開催日時・場所・申込状況（受付済の件数/定員）が表示される</t>
        </is>
      </c>
      <c r="H27" s="12" t="inlineStr">
        <is>
          <t>-（参照のみ）</t>
        </is>
      </c>
      <c r="I27" s="12" t="inlineStr">
        <is>
          <t>-</t>
        </is>
      </c>
      <c r="J27" s="12" t="inlineStr">
        <is>
          <t>SC-020 項目④〜⑩</t>
        </is>
      </c>
      <c r="K27" s="12" t="inlineStr">
        <is>
          <t>手動</t>
        </is>
      </c>
      <c r="L27" s="12" t="n"/>
      <c r="M27" s="12" t="inlineStr">
        <is>
          <t>OK</t>
        </is>
      </c>
      <c r="N27" s="23" t="n">
        <v>46308</v>
      </c>
      <c r="O27" s="12" t="inlineStr">
        <is>
          <t>佐々木</t>
        </is>
      </c>
      <c r="P27" s="12" t="n"/>
      <c r="Q27" s="15" t="inlineStr">
        <is>
          <t>45_テストエビデンス_画面結合.xlsx／SC-020</t>
        </is>
      </c>
      <c r="R27" s="12" t="n"/>
      <c r="S27" s="12" t="n"/>
      <c r="T27" s="12" t="n"/>
    </row>
    <row r="28" ht="27" customHeight="1">
      <c r="A28" s="12" t="inlineStr">
        <is>
          <t>IT-SC020-N02</t>
        </is>
      </c>
      <c r="B28" s="12" t="inlineStr">
        <is>
          <t>SC-020 イベント一覧</t>
        </is>
      </c>
      <c r="C28" s="12" t="inlineStr">
        <is>
          <t>正常系</t>
        </is>
      </c>
      <c r="D28" s="12" t="inlineStr">
        <is>
          <t>開催済みのイベントは一覧の末尾に表示される</t>
        </is>
      </c>
      <c r="E28" s="12" t="inlineStr">
        <is>
          <t>一般ユーザーでログイン、TD-04</t>
        </is>
      </c>
      <c r="F28" s="12" t="inlineStr">
        <is>
          <t>SC-020を開く（並び順は既定の開催日時順）</t>
        </is>
      </c>
      <c r="G28" s="12" t="inlineStr">
        <is>
          <t>開催前のイベントが開催日時の昇順で並び、その後ろに「開催済テスト」等の開催済みのイベントが並ぶ</t>
        </is>
      </c>
      <c r="H28" s="12" t="inlineStr">
        <is>
          <t>-（参照のみ）</t>
        </is>
      </c>
      <c r="I28" s="12" t="inlineStr">
        <is>
          <t>-</t>
        </is>
      </c>
      <c r="J28" s="12" t="inlineStr">
        <is>
          <t>SC-020 項目㉑</t>
        </is>
      </c>
      <c r="K28" s="12" t="inlineStr">
        <is>
          <t>手動</t>
        </is>
      </c>
      <c r="L28" s="12" t="n"/>
      <c r="M28" s="12" t="inlineStr">
        <is>
          <t>OK</t>
        </is>
      </c>
      <c r="N28" s="23" t="n">
        <v>46308</v>
      </c>
      <c r="O28" s="12" t="inlineStr">
        <is>
          <t>佐々木</t>
        </is>
      </c>
      <c r="P28" s="12" t="n"/>
      <c r="Q28" s="15" t="inlineStr">
        <is>
          <t>45_テストエビデンス_画面結合.xlsx／SC-020</t>
        </is>
      </c>
      <c r="R28" s="12" t="n"/>
      <c r="S28" s="12" t="n"/>
      <c r="T28" s="12" t="n"/>
    </row>
    <row r="29" ht="27" customHeight="1">
      <c r="A29" s="12" t="inlineStr">
        <is>
          <t>IT-SC020-N03</t>
        </is>
      </c>
      <c r="B29" s="12" t="inlineStr">
        <is>
          <t>SC-020 イベント一覧</t>
        </is>
      </c>
      <c r="C29" s="12" t="inlineStr">
        <is>
          <t>正常系</t>
        </is>
      </c>
      <c r="D29" s="12" t="inlineStr">
        <is>
          <t>受付終了のイベントはグレーで表示される</t>
        </is>
      </c>
      <c r="E29" s="12" t="inlineStr">
        <is>
          <t>一般ユーザーでログイン、TD-03</t>
        </is>
      </c>
      <c r="F29" s="12" t="inlineStr">
        <is>
          <t>SC-020で「締切済テスト」を確認する</t>
        </is>
      </c>
      <c r="G29" s="12" t="inlineStr">
        <is>
          <t>カードがグレーで表示され、受付状況が「受付終了」になる。開催前のため末尾には移動しない</t>
        </is>
      </c>
      <c r="H29" s="12" t="inlineStr">
        <is>
          <t>-（参照のみ）</t>
        </is>
      </c>
      <c r="I29" s="12" t="inlineStr">
        <is>
          <t>-</t>
        </is>
      </c>
      <c r="J29" s="12" t="inlineStr">
        <is>
          <t>SC-020 項目⑤、補足</t>
        </is>
      </c>
      <c r="K29" s="12" t="inlineStr">
        <is>
          <t>手動</t>
        </is>
      </c>
      <c r="L29" s="12" t="n"/>
      <c r="M29" s="12" t="inlineStr">
        <is>
          <t>OK</t>
        </is>
      </c>
      <c r="N29" s="23" t="n">
        <v>46308</v>
      </c>
      <c r="O29" s="12" t="inlineStr">
        <is>
          <t>佐々木</t>
        </is>
      </c>
      <c r="P29" s="12" t="n"/>
      <c r="Q29" s="15" t="inlineStr">
        <is>
          <t>45_テストエビデンス_画面結合.xlsx／SC-020</t>
        </is>
      </c>
      <c r="R29" s="12" t="n"/>
      <c r="S29" s="12" t="n"/>
      <c r="T29" s="12" t="n"/>
    </row>
    <row r="30" ht="27" customHeight="1">
      <c r="A30" s="12" t="inlineStr">
        <is>
          <t>IT-SC020-N04</t>
        </is>
      </c>
      <c r="B30" s="12" t="inlineStr">
        <is>
          <t>SC-020 イベント一覧</t>
        </is>
      </c>
      <c r="C30" s="12" t="inlineStr">
        <is>
          <t>正常系</t>
        </is>
      </c>
      <c r="D30" s="12" t="inlineStr">
        <is>
          <t>申込数の多い順に並び替えられる</t>
        </is>
      </c>
      <c r="E30" s="12" t="inlineStr">
        <is>
          <t>一般ユーザーでログイン</t>
        </is>
      </c>
      <c r="F30" s="12" t="inlineStr">
        <is>
          <t>並び替えで「申込数の多い順」を選ぶ</t>
        </is>
      </c>
      <c r="G30" s="12" t="inlineStr">
        <is>
          <t>開催前のイベントが受付済の件数の多い順に並ぶ。Networkタブに/api/eventsの再取得が出ない</t>
        </is>
      </c>
      <c r="H30" s="12" t="inlineStr">
        <is>
          <t>-（参照のみ）</t>
        </is>
      </c>
      <c r="I30" s="12" t="inlineStr">
        <is>
          <t>-</t>
        </is>
      </c>
      <c r="J30" s="12" t="inlineStr">
        <is>
          <t>SC-020 イベント処理3</t>
        </is>
      </c>
      <c r="K30" s="12" t="inlineStr">
        <is>
          <t>手動</t>
        </is>
      </c>
      <c r="L30" s="12" t="n"/>
      <c r="M30" s="12" t="inlineStr">
        <is>
          <t>OK</t>
        </is>
      </c>
      <c r="N30" s="23" t="n">
        <v>46308</v>
      </c>
      <c r="O30" s="12" t="inlineStr">
        <is>
          <t>佐々木</t>
        </is>
      </c>
      <c r="P30" s="12" t="n"/>
      <c r="Q30" s="15" t="inlineStr">
        <is>
          <t>45_テストエビデンス_画面結合.xlsx／SC-020</t>
        </is>
      </c>
      <c r="R30" s="12" t="n"/>
      <c r="S30" s="12" t="n"/>
      <c r="T30" s="12" t="n"/>
    </row>
    <row r="31" ht="13.5" customHeight="1">
      <c r="A31" s="12" t="inlineStr">
        <is>
          <t>IT-SC020-N05</t>
        </is>
      </c>
      <c r="B31" s="12" t="inlineStr">
        <is>
          <t>SC-020 イベント一覧</t>
        </is>
      </c>
      <c r="C31" s="12" t="inlineStr">
        <is>
          <t>正常系</t>
        </is>
      </c>
      <c r="D31" s="12" t="inlineStr">
        <is>
          <t>お気に入り数の多い順に並び替えられる</t>
        </is>
      </c>
      <c r="E31" s="12" t="inlineStr">
        <is>
          <t>一般ユーザーでログイン</t>
        </is>
      </c>
      <c r="F31" s="12" t="inlineStr">
        <is>
          <t>並び替えで「お気に入り数の多い順」を選ぶ</t>
        </is>
      </c>
      <c r="G31" s="12" t="inlineStr">
        <is>
          <t>開催前のイベントがお気に入り数の多い順に並ぶ</t>
        </is>
      </c>
      <c r="H31" s="12" t="inlineStr">
        <is>
          <t>-（参照のみ）</t>
        </is>
      </c>
      <c r="I31" s="12" t="inlineStr">
        <is>
          <t>-</t>
        </is>
      </c>
      <c r="J31" s="12" t="inlineStr">
        <is>
          <t>SC-020 イベント処理3</t>
        </is>
      </c>
      <c r="K31" s="12" t="inlineStr">
        <is>
          <t>手動</t>
        </is>
      </c>
      <c r="L31" s="12" t="n"/>
      <c r="M31" s="12" t="inlineStr">
        <is>
          <t>OK</t>
        </is>
      </c>
      <c r="N31" s="23" t="n">
        <v>46308</v>
      </c>
      <c r="O31" s="12" t="inlineStr">
        <is>
          <t>佐々木</t>
        </is>
      </c>
      <c r="P31" s="12" t="n"/>
      <c r="Q31" s="15" t="inlineStr">
        <is>
          <t>45_テストエビデンス_画面結合.xlsx／SC-020</t>
        </is>
      </c>
      <c r="R31" s="12" t="n"/>
      <c r="S31" s="12" t="n"/>
      <c r="T31" s="12" t="n"/>
    </row>
    <row r="32" ht="13.5" customHeight="1">
      <c r="A32" s="12" t="inlineStr">
        <is>
          <t>IT-SC020-N06</t>
        </is>
      </c>
      <c r="B32" s="12" t="inlineStr">
        <is>
          <t>SC-020 イベント一覧</t>
        </is>
      </c>
      <c r="C32" s="12" t="inlineStr">
        <is>
          <t>正常系</t>
        </is>
      </c>
      <c r="D32" s="12" t="inlineStr">
        <is>
          <t>申込締切が近い順に並び替えられる</t>
        </is>
      </c>
      <c r="E32" s="12" t="inlineStr">
        <is>
          <t>一般ユーザーでログイン</t>
        </is>
      </c>
      <c r="F32" s="12" t="inlineStr">
        <is>
          <t>並び替えで「申込締切が近い順」を選ぶ</t>
        </is>
      </c>
      <c r="G32" s="12" t="inlineStr">
        <is>
          <t>開催前のイベントが申込締切の早い順に並ぶ</t>
        </is>
      </c>
      <c r="H32" s="12" t="inlineStr">
        <is>
          <t>-（参照のみ）</t>
        </is>
      </c>
      <c r="I32" s="12" t="inlineStr">
        <is>
          <t>-</t>
        </is>
      </c>
      <c r="J32" s="12" t="inlineStr">
        <is>
          <t>SC-020 イベント処理3</t>
        </is>
      </c>
      <c r="K32" s="12" t="inlineStr">
        <is>
          <t>手動</t>
        </is>
      </c>
      <c r="L32" s="12" t="n"/>
      <c r="M32" s="12" t="inlineStr">
        <is>
          <t>OK</t>
        </is>
      </c>
      <c r="N32" s="23" t="n">
        <v>46308</v>
      </c>
      <c r="O32" s="12" t="inlineStr">
        <is>
          <t>佐々木</t>
        </is>
      </c>
      <c r="P32" s="12" t="n"/>
      <c r="Q32" s="15" t="inlineStr">
        <is>
          <t>45_テストエビデンス_画面結合.xlsx／SC-020</t>
        </is>
      </c>
      <c r="R32" s="12" t="n"/>
      <c r="S32" s="12" t="n"/>
      <c r="T32" s="12" t="n"/>
    </row>
    <row r="33" ht="27" customHeight="1">
      <c r="A33" s="12" t="inlineStr">
        <is>
          <t>IT-SC020-N07</t>
        </is>
      </c>
      <c r="B33" s="12" t="inlineStr">
        <is>
          <t>SC-020 イベント一覧</t>
        </is>
      </c>
      <c r="C33" s="12" t="inlineStr">
        <is>
          <t>正常系</t>
        </is>
      </c>
      <c r="D33" s="12" t="inlineStr">
        <is>
          <t>並び順を変えても、開催済みのイベントは末尾のままになる</t>
        </is>
      </c>
      <c r="E33" s="12" t="inlineStr">
        <is>
          <t>一般ユーザーでログイン、TD-04</t>
        </is>
      </c>
      <c r="F33" s="12" t="inlineStr">
        <is>
          <t>並び替えで「申込数の多い順」を選ぶ</t>
        </is>
      </c>
      <c r="G33" s="12" t="inlineStr">
        <is>
          <t>開催済みのイベントは、受付済の件数によらず開催前のイベントの後ろに並ぶ</t>
        </is>
      </c>
      <c r="H33" s="12" t="inlineStr">
        <is>
          <t>-（参照のみ）</t>
        </is>
      </c>
      <c r="I33" s="12" t="inlineStr">
        <is>
          <t>-</t>
        </is>
      </c>
      <c r="J33" s="12" t="inlineStr">
        <is>
          <t>SC-020 イベント処理3</t>
        </is>
      </c>
      <c r="K33" s="12" t="inlineStr">
        <is>
          <t>手動</t>
        </is>
      </c>
      <c r="L33" s="12" t="n"/>
      <c r="M33" s="12" t="inlineStr">
        <is>
          <t>OK</t>
        </is>
      </c>
      <c r="N33" s="23" t="n">
        <v>46308</v>
      </c>
      <c r="O33" s="12" t="inlineStr">
        <is>
          <t>佐々木</t>
        </is>
      </c>
      <c r="P33" s="12" t="n"/>
      <c r="Q33" s="15" t="inlineStr">
        <is>
          <t>45_テストエビデンス_画面結合.xlsx／SC-020</t>
        </is>
      </c>
      <c r="R33" s="12" t="n"/>
      <c r="S33" s="12" t="n"/>
      <c r="T33" s="12" t="n"/>
    </row>
    <row r="34" ht="27" customHeight="1">
      <c r="A34" s="12" t="inlineStr">
        <is>
          <t>IT-SC020-N08</t>
        </is>
      </c>
      <c r="B34" s="12" t="inlineStr">
        <is>
          <t>SC-020 イベント一覧</t>
        </is>
      </c>
      <c r="C34" s="12" t="inlineStr">
        <is>
          <t>正常系</t>
        </is>
      </c>
      <c r="D34" s="12" t="inlineStr">
        <is>
          <t>カレンダー表示に切り替えられる</t>
        </is>
      </c>
      <c r="E34" s="12" t="inlineStr">
        <is>
          <t>一般ユーザーでログイン、TD-01</t>
        </is>
      </c>
      <c r="F34" s="12" t="inlineStr">
        <is>
          <t>表示形式の「カレンダー」を押し、TD-01の開催月を表示する</t>
        </is>
      </c>
      <c r="G34" s="12" t="inlineStr">
        <is>
          <t>TD-01の開催日のマスに「区分テスト」が表示される</t>
        </is>
      </c>
      <c r="H34" s="12" t="inlineStr">
        <is>
          <t>-（参照のみ）</t>
        </is>
      </c>
      <c r="I34" s="12" t="inlineStr">
        <is>
          <t>-</t>
        </is>
      </c>
      <c r="J34" s="12" t="inlineStr">
        <is>
          <t>SC-020 項目㉕</t>
        </is>
      </c>
      <c r="K34" s="12" t="inlineStr">
        <is>
          <t>手動</t>
        </is>
      </c>
      <c r="L34" s="12" t="n"/>
      <c r="M34" s="12" t="inlineStr">
        <is>
          <t>OK</t>
        </is>
      </c>
      <c r="N34" s="23" t="n">
        <v>46308</v>
      </c>
      <c r="O34" s="12" t="inlineStr">
        <is>
          <t>佐々木</t>
        </is>
      </c>
      <c r="P34" s="12" t="n"/>
      <c r="Q34" s="15" t="inlineStr">
        <is>
          <t>45_テストエビデンス_画面結合.xlsx／SC-020</t>
        </is>
      </c>
      <c r="R34" s="12" t="n"/>
      <c r="S34" s="12" t="n"/>
      <c r="T34" s="12" t="n"/>
    </row>
    <row r="35" ht="27" customHeight="1">
      <c r="A35" s="12" t="inlineStr">
        <is>
          <t>IT-SC020-N09</t>
        </is>
      </c>
      <c r="B35" s="12" t="inlineStr">
        <is>
          <t>SC-020 イベント一覧</t>
        </is>
      </c>
      <c r="C35" s="12" t="inlineStr">
        <is>
          <t>正常系</t>
        </is>
      </c>
      <c r="D35" s="12" t="inlineStr">
        <is>
          <t>カレンダーを翌月に切り替えられる</t>
        </is>
      </c>
      <c r="E35" s="12" t="inlineStr">
        <is>
          <t>一般ユーザーでログイン</t>
        </is>
      </c>
      <c r="F35" s="12" t="inlineStr">
        <is>
          <t>カレンダー表示で「翌月 →」を押す</t>
        </is>
      </c>
      <c r="G35" s="12" t="inlineStr">
        <is>
          <t>表示中の年月が翌月になり、その月のイベントが表示される</t>
        </is>
      </c>
      <c r="H35" s="12" t="inlineStr">
        <is>
          <t>-（参照のみ）</t>
        </is>
      </c>
      <c r="I35" s="12" t="inlineStr">
        <is>
          <t>-</t>
        </is>
      </c>
      <c r="J35" s="12" t="inlineStr">
        <is>
          <t>SC-020 イベント処理8</t>
        </is>
      </c>
      <c r="K35" s="12" t="inlineStr">
        <is>
          <t>手動</t>
        </is>
      </c>
      <c r="L35" s="12" t="n"/>
      <c r="M35" s="12" t="inlineStr">
        <is>
          <t>OK</t>
        </is>
      </c>
      <c r="N35" s="23" t="n">
        <v>46308</v>
      </c>
      <c r="O35" s="12" t="inlineStr">
        <is>
          <t>佐々木</t>
        </is>
      </c>
      <c r="P35" s="12" t="n"/>
      <c r="Q35" s="15" t="inlineStr">
        <is>
          <t>45_テストエビデンス_画面結合.xlsx／SC-020</t>
        </is>
      </c>
      <c r="R35" s="12" t="n"/>
      <c r="S35" s="12" t="n"/>
      <c r="T35" s="12" t="n"/>
    </row>
    <row r="36" ht="27" customHeight="1">
      <c r="A36" s="12" t="inlineStr">
        <is>
          <t>IT-SC020-N10</t>
        </is>
      </c>
      <c r="B36" s="12" t="inlineStr">
        <is>
          <t>SC-020 イベント一覧</t>
        </is>
      </c>
      <c r="C36" s="12" t="inlineStr">
        <is>
          <t>正常系</t>
        </is>
      </c>
      <c r="D36" s="12" t="inlineStr">
        <is>
          <t>カレンダーを前月に切り替えられる</t>
        </is>
      </c>
      <c r="E36" s="12" t="inlineStr">
        <is>
          <t>一般ユーザーでログイン</t>
        </is>
      </c>
      <c r="F36" s="12" t="inlineStr">
        <is>
          <t>カレンダー表示で「← 前月」を押す</t>
        </is>
      </c>
      <c r="G36" s="12" t="inlineStr">
        <is>
          <t>表示中の年月が前月になり、その月のイベントが表示される</t>
        </is>
      </c>
      <c r="H36" s="12" t="inlineStr">
        <is>
          <t>-（参照のみ）</t>
        </is>
      </c>
      <c r="I36" s="12" t="inlineStr">
        <is>
          <t>-</t>
        </is>
      </c>
      <c r="J36" s="12" t="inlineStr">
        <is>
          <t>SC-020 イベント処理8</t>
        </is>
      </c>
      <c r="K36" s="12" t="inlineStr">
        <is>
          <t>手動</t>
        </is>
      </c>
      <c r="L36" s="12" t="n"/>
      <c r="M36" s="12" t="inlineStr">
        <is>
          <t>OK</t>
        </is>
      </c>
      <c r="N36" s="23" t="n">
        <v>46308</v>
      </c>
      <c r="O36" s="12" t="inlineStr">
        <is>
          <t>佐々木</t>
        </is>
      </c>
      <c r="P36" s="12" t="n"/>
      <c r="Q36" s="15" t="inlineStr">
        <is>
          <t>45_テストエビデンス_画面結合.xlsx／SC-020</t>
        </is>
      </c>
      <c r="R36" s="12" t="n"/>
      <c r="S36" s="12" t="n"/>
      <c r="T36" s="12" t="n"/>
    </row>
    <row r="37" ht="27" customHeight="1">
      <c r="A37" s="12" t="inlineStr">
        <is>
          <t>IT-SC020-N11</t>
        </is>
      </c>
      <c r="B37" s="12" t="inlineStr">
        <is>
          <t>SC-020 イベント一覧</t>
        </is>
      </c>
      <c r="C37" s="12" t="inlineStr">
        <is>
          <t>正常系</t>
        </is>
      </c>
      <c r="D37" s="12" t="inlineStr">
        <is>
          <t>お気に入りに登録できる</t>
        </is>
      </c>
      <c r="E37" s="12" t="inlineStr">
        <is>
          <t>一般ユーザーでログイン、TD-02（お気に入り登録なし）</t>
        </is>
      </c>
      <c r="F37" s="12" t="inlineStr">
        <is>
          <t>TD-02のカードの「☆」を押す</t>
        </is>
      </c>
      <c r="G37" s="12" t="inlineStr">
        <is>
          <t>「★」に変わり、お気に入り数が1増える</t>
        </is>
      </c>
      <c r="H37" s="12" t="inlineStr">
        <is>
          <t>favoritesに1行追加される（event_id=TD-02、user_id=1）</t>
        </is>
      </c>
      <c r="I37" s="12" t="inlineStr">
        <is>
          <t>【操作の前と後に実行し、期待結果のとおりであることを確認する】
SELECT id, event_id, user_id, created_at FROM favorites ORDER BY id;</t>
        </is>
      </c>
      <c r="J37" s="12" t="inlineStr">
        <is>
          <t>SC-020 イベント処理5</t>
        </is>
      </c>
      <c r="K37" s="12" t="inlineStr">
        <is>
          <t>手動</t>
        </is>
      </c>
      <c r="L37" s="12" t="n"/>
      <c r="M37" s="12" t="inlineStr">
        <is>
          <t>OK</t>
        </is>
      </c>
      <c r="N37" s="23" t="n">
        <v>46308</v>
      </c>
      <c r="O37" s="12" t="inlineStr">
        <is>
          <t>佐々木</t>
        </is>
      </c>
      <c r="P37" s="12" t="n"/>
      <c r="Q37" s="15" t="inlineStr">
        <is>
          <t>45_テストエビデンス_画面結合.xlsx／SC-020</t>
        </is>
      </c>
      <c r="R37" s="12" t="n"/>
      <c r="S37" s="12" t="n"/>
      <c r="T37" s="12" t="n"/>
    </row>
    <row r="38" ht="27" customHeight="1">
      <c r="A38" s="12" t="inlineStr">
        <is>
          <t>IT-SC020-N12</t>
        </is>
      </c>
      <c r="B38" s="12" t="inlineStr">
        <is>
          <t>SC-020 イベント一覧</t>
        </is>
      </c>
      <c r="C38" s="12" t="inlineStr">
        <is>
          <t>正常系</t>
        </is>
      </c>
      <c r="D38" s="12" t="inlineStr">
        <is>
          <t>お気に入りを解除できる</t>
        </is>
      </c>
      <c r="E38" s="12" t="inlineStr">
        <is>
          <t>一般ユーザーでログイン、TD-02をお気に入り登録済み</t>
        </is>
      </c>
      <c r="F38" s="12" t="inlineStr">
        <is>
          <t>TD-02のカードの「★」を押す</t>
        </is>
      </c>
      <c r="G38" s="12" t="inlineStr">
        <is>
          <t>「☆」に変わり、お気に入り数が1減る</t>
        </is>
      </c>
      <c r="H38" s="12" t="inlineStr">
        <is>
          <t>favoritesの該当の行が削除される</t>
        </is>
      </c>
      <c r="I38" s="12" t="inlineStr">
        <is>
          <t>【操作の前と後に実行し、期待結果のとおりであることを確認する】
SELECT id, event_id, user_id, created_at FROM favorites ORDER BY id;</t>
        </is>
      </c>
      <c r="J38" s="12" t="inlineStr">
        <is>
          <t>SC-020 イベント処理5</t>
        </is>
      </c>
      <c r="K38" s="12" t="inlineStr">
        <is>
          <t>手動</t>
        </is>
      </c>
      <c r="L38" s="12" t="n"/>
      <c r="M38" s="12" t="inlineStr">
        <is>
          <t>OK</t>
        </is>
      </c>
      <c r="N38" s="23" t="n">
        <v>46308</v>
      </c>
      <c r="O38" s="12" t="inlineStr">
        <is>
          <t>佐々木</t>
        </is>
      </c>
      <c r="P38" s="12" t="n"/>
      <c r="Q38" s="15" t="inlineStr">
        <is>
          <t>45_テストエビデンス_画面結合.xlsx／SC-020</t>
        </is>
      </c>
      <c r="R38" s="12" t="n"/>
      <c r="S38" s="12" t="n"/>
      <c r="T38" s="12" t="n"/>
    </row>
    <row r="39" ht="40.5" customHeight="1">
      <c r="A39" s="12" t="inlineStr">
        <is>
          <t>IT-SC020-N13</t>
        </is>
      </c>
      <c r="B39" s="12" t="inlineStr">
        <is>
          <t>SC-020 イベント一覧</t>
        </is>
      </c>
      <c r="C39" s="12" t="inlineStr">
        <is>
          <t>正常系</t>
        </is>
      </c>
      <c r="D39" s="12" t="inlineStr">
        <is>
          <t>詳細を展開できる</t>
        </is>
      </c>
      <c r="E39" s="12" t="inlineStr">
        <is>
          <t>一般ユーザーでログイン、TD-01</t>
        </is>
      </c>
      <c r="F39" s="12" t="inlineStr">
        <is>
          <t>TD-01のカードの「詳細を見る」を押す</t>
        </is>
      </c>
      <c r="G39" s="12" t="inlineStr">
        <is>
          <t>定員・残り枠・申込締切・説明・参加区分のプルダウン・アンケートの質問文と回答欄・「申し込む」が表示される。主催者は表示されない</t>
        </is>
      </c>
      <c r="H39" s="12" t="inlineStr">
        <is>
          <t>-（参照のみ）</t>
        </is>
      </c>
      <c r="I39" s="12" t="inlineStr">
        <is>
          <t>-</t>
        </is>
      </c>
      <c r="J39" s="12" t="inlineStr">
        <is>
          <t>SC-020 項目⑫〜⑲</t>
        </is>
      </c>
      <c r="K39" s="12" t="inlineStr">
        <is>
          <t>手動</t>
        </is>
      </c>
      <c r="L39" s="12" t="n"/>
      <c r="M39" s="12" t="inlineStr">
        <is>
          <t>OK</t>
        </is>
      </c>
      <c r="N39" s="23" t="n">
        <v>46308</v>
      </c>
      <c r="O39" s="12" t="inlineStr">
        <is>
          <t>佐々木</t>
        </is>
      </c>
      <c r="P39" s="12" t="n"/>
      <c r="Q39" s="15" t="inlineStr">
        <is>
          <t>45_テストエビデンス_画面結合.xlsx／SC-020</t>
        </is>
      </c>
      <c r="R39" s="12" t="n"/>
      <c r="S39" s="12" t="n"/>
      <c r="T39" s="12" t="n"/>
    </row>
    <row r="40" ht="40.5" customHeight="1">
      <c r="A40" s="12" t="inlineStr">
        <is>
          <t>IT-SC020-N14</t>
        </is>
      </c>
      <c r="B40" s="12" t="inlineStr">
        <is>
          <t>SC-020 イベント一覧</t>
        </is>
      </c>
      <c r="C40" s="12" t="inlineStr">
        <is>
          <t>正常系</t>
        </is>
      </c>
      <c r="D40" s="12" t="inlineStr">
        <is>
          <t>一覧から申し込める</t>
        </is>
      </c>
      <c r="E40" s="12" t="inlineStr">
        <is>
          <t>一般ユーザーでログイン、TD-02（申込なし）</t>
        </is>
      </c>
      <c r="F40" s="12" t="inlineStr">
        <is>
          <t>TD-02の詳細を展開し「申し込む」を押す</t>
        </is>
      </c>
      <c r="G40" s="12" t="inlineStr">
        <is>
          <t>SC-023へ遷移し、ステータス「受付済」が表示される</t>
        </is>
      </c>
      <c r="H40" s="12" t="inlineStr">
        <is>
          <t>applicationsに1行追加される（event_id=TD-02、user_id=1、status_code=1）</t>
        </is>
      </c>
      <c r="I40" s="12" t="inlineStr">
        <is>
          <t>【操作の前と後に実行し、期待結果のとおりであることを確認する】
SELECT id, event_id, user_id, ticket_type_id, status_code, extra_answer, checked_in_at, updated_at FROM applications ORDER BY id;</t>
        </is>
      </c>
      <c r="J40" s="12" t="inlineStr">
        <is>
          <t>SC-020 イベント処理7</t>
        </is>
      </c>
      <c r="K40" s="12" t="inlineStr">
        <is>
          <t>手動</t>
        </is>
      </c>
      <c r="L40" s="12" t="n"/>
      <c r="M40" s="12" t="inlineStr">
        <is>
          <t>OK</t>
        </is>
      </c>
      <c r="N40" s="23" t="n">
        <v>46308</v>
      </c>
      <c r="O40" s="12" t="inlineStr">
        <is>
          <t>佐々木</t>
        </is>
      </c>
      <c r="P40" s="12" t="n"/>
      <c r="Q40" s="15" t="inlineStr">
        <is>
          <t>45_テストエビデンス_画面結合.xlsx／SC-020</t>
        </is>
      </c>
      <c r="R40" s="12" t="n"/>
      <c r="S40" s="12" t="n"/>
      <c r="T40" s="12" t="n"/>
    </row>
    <row r="41" ht="27" customHeight="1">
      <c r="A41" s="12" t="inlineStr">
        <is>
          <t>IT-SC020-N15</t>
        </is>
      </c>
      <c r="B41" s="12" t="inlineStr">
        <is>
          <t>SC-020 イベント一覧</t>
        </is>
      </c>
      <c r="C41" s="12" t="inlineStr">
        <is>
          <t>正常系</t>
        </is>
      </c>
      <c r="D41" s="12" t="inlineStr">
        <is>
          <t>残り枠が無いイベントは、ボタンが「キャンセル待ちで申し込む」になる</t>
        </is>
      </c>
      <c r="E41" s="12" t="inlineStr">
        <is>
          <t>TD-02に他の利用者が受付済で申込済み。一般ユーザーでログイン</t>
        </is>
      </c>
      <c r="F41" s="12" t="inlineStr">
        <is>
          <t>TD-02の詳細を展開する</t>
        </is>
      </c>
      <c r="G41" s="12" t="inlineStr">
        <is>
          <t>ボタンの文言が「キャンセル待ちで申し込む」になる</t>
        </is>
      </c>
      <c r="H41" s="12" t="inlineStr">
        <is>
          <t>-（参照のみ）</t>
        </is>
      </c>
      <c r="I41" s="12" t="inlineStr">
        <is>
          <t>-</t>
        </is>
      </c>
      <c r="J41" s="12" t="inlineStr">
        <is>
          <t>SC-020 項目⑲</t>
        </is>
      </c>
      <c r="K41" s="12" t="inlineStr">
        <is>
          <t>手動</t>
        </is>
      </c>
      <c r="L41" s="12" t="n"/>
      <c r="M41" s="12" t="inlineStr">
        <is>
          <t>OK</t>
        </is>
      </c>
      <c r="N41" s="23" t="n">
        <v>46308</v>
      </c>
      <c r="O41" s="12" t="inlineStr">
        <is>
          <t>佐々木</t>
        </is>
      </c>
      <c r="P41" s="12" t="n"/>
      <c r="Q41" s="15" t="inlineStr">
        <is>
          <t>45_テストエビデンス_画面結合.xlsx／SC-020</t>
        </is>
      </c>
      <c r="R41" s="12" t="n"/>
      <c r="S41" s="12" t="n"/>
      <c r="T41" s="12" t="n"/>
    </row>
    <row r="42" ht="27" customHeight="1">
      <c r="A42" s="12" t="inlineStr">
        <is>
          <t>IT-SC020-E01</t>
        </is>
      </c>
      <c r="B42" s="12" t="inlineStr">
        <is>
          <t>SC-020 イベント一覧</t>
        </is>
      </c>
      <c r="C42" s="12" t="inlineStr">
        <is>
          <t>異常系</t>
        </is>
      </c>
      <c r="D42" s="12" t="inlineStr">
        <is>
          <t>参加区分を選ばずに申し込むとエラーになる</t>
        </is>
      </c>
      <c r="E42" s="12" t="inlineStr">
        <is>
          <t>一般ユーザーでログイン、TD-01</t>
        </is>
      </c>
      <c r="F42" s="12" t="inlineStr">
        <is>
          <t>TD-01の詳細を展開し、参加区分を選ばずに「申し込む」を押す</t>
        </is>
      </c>
      <c r="G42" s="12" t="inlineStr">
        <is>
          <t>「区分を選択してください」がカード内に表示され、遷移しない</t>
        </is>
      </c>
      <c r="H42" s="12" t="inlineStr">
        <is>
          <t>applicationsは変更されない</t>
        </is>
      </c>
      <c r="I42" s="12" t="inlineStr">
        <is>
          <t>【操作の前と後に実行し、結果が同じことを確認する】
SELECT * FROM applications ORDER BY id;</t>
        </is>
      </c>
      <c r="J42" s="12" t="inlineStr">
        <is>
          <t>E-B-004</t>
        </is>
      </c>
      <c r="K42" s="12" t="inlineStr">
        <is>
          <t>手動</t>
        </is>
      </c>
      <c r="L42" s="12" t="n"/>
      <c r="M42" s="12" t="inlineStr">
        <is>
          <t>OK</t>
        </is>
      </c>
      <c r="N42" s="23" t="n">
        <v>46308</v>
      </c>
      <c r="O42" s="12" t="inlineStr">
        <is>
          <t>佐々木</t>
        </is>
      </c>
      <c r="P42" s="12" t="n"/>
      <c r="Q42" s="15" t="inlineStr">
        <is>
          <t>45_テストエビデンス_画面結合.xlsx／SC-020</t>
        </is>
      </c>
      <c r="R42" s="12" t="n"/>
      <c r="S42" s="12" t="n"/>
      <c r="T42" s="12" t="n"/>
    </row>
    <row r="43" ht="27" customHeight="1">
      <c r="A43" s="12" t="inlineStr">
        <is>
          <t>IT-SC020-E02</t>
        </is>
      </c>
      <c r="B43" s="12" t="inlineStr">
        <is>
          <t>SC-020 イベント一覧</t>
        </is>
      </c>
      <c r="C43" s="12" t="inlineStr">
        <is>
          <t>異常系</t>
        </is>
      </c>
      <c r="D43" s="12" t="inlineStr">
        <is>
          <t>管理者には申込フォームが表示されない</t>
        </is>
      </c>
      <c r="E43" s="12" t="inlineStr">
        <is>
          <t>管理者でログイン</t>
        </is>
      </c>
      <c r="F43" s="12" t="inlineStr">
        <is>
          <t>URL/eventsを直接開き、イベントの詳細を展開する</t>
        </is>
      </c>
      <c r="G43" s="12" t="inlineStr">
        <is>
          <t>申込フォームが表示されず、「管理者は申込できません」の旨が表示される</t>
        </is>
      </c>
      <c r="H43" s="12" t="inlineStr">
        <is>
          <t>applicationsは変更されない</t>
        </is>
      </c>
      <c r="I43" s="12" t="inlineStr">
        <is>
          <t>【操作の前と後に実行し、結果が同じことを確認する】
SELECT * FROM applications ORDER BY id;</t>
        </is>
      </c>
      <c r="J43" s="12" t="inlineStr">
        <is>
          <t>SC-020 項目⑲</t>
        </is>
      </c>
      <c r="K43" s="12" t="inlineStr">
        <is>
          <t>手動</t>
        </is>
      </c>
      <c r="L43" s="12" t="n"/>
      <c r="M43" s="12" t="inlineStr">
        <is>
          <t>OK</t>
        </is>
      </c>
      <c r="N43" s="23" t="n">
        <v>46308</v>
      </c>
      <c r="O43" s="12" t="inlineStr">
        <is>
          <t>佐々木</t>
        </is>
      </c>
      <c r="P43" s="12" t="n"/>
      <c r="Q43" s="15" t="inlineStr">
        <is>
          <t>45_テストエビデンス_画面結合.xlsx／SC-020</t>
        </is>
      </c>
      <c r="R43" s="12" t="n"/>
      <c r="S43" s="12" t="n"/>
      <c r="T43" s="12" t="n"/>
    </row>
    <row r="44" ht="13.5" customHeight="1">
      <c r="A44" s="12" t="inlineStr">
        <is>
          <t>IT-SC021-N01</t>
        </is>
      </c>
      <c r="B44" s="12" t="inlineStr">
        <is>
          <t>SC-021 イベント検索</t>
        </is>
      </c>
      <c r="C44" s="12" t="inlineStr">
        <is>
          <t>正常系</t>
        </is>
      </c>
      <c r="D44" s="12" t="inlineStr">
        <is>
          <t>キーワードでイベント名を絞り込める</t>
        </is>
      </c>
      <c r="E44" s="12" t="inlineStr">
        <is>
          <t>一般ユーザーでログイン、TD-01</t>
        </is>
      </c>
      <c r="F44" s="12" t="inlineStr">
        <is>
          <t>キーワードに「区分」と入力する</t>
        </is>
      </c>
      <c r="G44" s="12" t="inlineStr">
        <is>
          <t>「区分テスト」だけが表示され、該当件数が1件になる</t>
        </is>
      </c>
      <c r="H44" s="12" t="inlineStr">
        <is>
          <t>-（参照のみ）</t>
        </is>
      </c>
      <c r="I44" s="12" t="inlineStr">
        <is>
          <t>-</t>
        </is>
      </c>
      <c r="J44" s="12" t="inlineStr">
        <is>
          <t>SC-021 イベント処理2</t>
        </is>
      </c>
      <c r="K44" s="12" t="inlineStr">
        <is>
          <t>手動</t>
        </is>
      </c>
      <c r="L44" s="12" t="n"/>
      <c r="M44" s="12" t="inlineStr">
        <is>
          <t>OK</t>
        </is>
      </c>
      <c r="N44" s="23" t="n">
        <v>46308</v>
      </c>
      <c r="O44" s="12" t="inlineStr">
        <is>
          <t>佐々木</t>
        </is>
      </c>
      <c r="P44" s="12" t="n"/>
      <c r="Q44" s="15" t="inlineStr">
        <is>
          <t>45_テストエビデンス_画面結合.xlsx／SC-021</t>
        </is>
      </c>
      <c r="R44" s="12" t="n"/>
      <c r="S44" s="12" t="n"/>
      <c r="T44" s="12" t="n"/>
    </row>
    <row r="45" ht="27" customHeight="1">
      <c r="A45" s="12" t="inlineStr">
        <is>
          <t>IT-SC021-N02</t>
        </is>
      </c>
      <c r="B45" s="12" t="inlineStr">
        <is>
          <t>SC-021 イベント検索</t>
        </is>
      </c>
      <c r="C45" s="12" t="inlineStr">
        <is>
          <t>正常系</t>
        </is>
      </c>
      <c r="D45" s="12" t="inlineStr">
        <is>
          <t>キーワードで場所を絞り込める</t>
        </is>
      </c>
      <c r="E45" s="12" t="inlineStr">
        <is>
          <t>一般ユーザーでログイン</t>
        </is>
      </c>
      <c r="F45" s="12" t="inlineStr">
        <is>
          <t>キーワードに、いずれかのイベントの場所の一部を入力する</t>
        </is>
      </c>
      <c r="G45" s="12" t="inlineStr">
        <is>
          <t>その場所のイベントが表示される</t>
        </is>
      </c>
      <c r="H45" s="12" t="inlineStr">
        <is>
          <t>-（参照のみ）</t>
        </is>
      </c>
      <c r="I45" s="12" t="inlineStr">
        <is>
          <t>-</t>
        </is>
      </c>
      <c r="J45" s="12" t="inlineStr">
        <is>
          <t>SC-021 項目①</t>
        </is>
      </c>
      <c r="K45" s="12" t="inlineStr">
        <is>
          <t>手動</t>
        </is>
      </c>
      <c r="L45" s="12" t="n"/>
      <c r="M45" s="12" t="inlineStr">
        <is>
          <t>OK</t>
        </is>
      </c>
      <c r="N45" s="23" t="n">
        <v>46308</v>
      </c>
      <c r="O45" s="12" t="inlineStr">
        <is>
          <t>佐々木</t>
        </is>
      </c>
      <c r="P45" s="12" t="n"/>
      <c r="Q45" s="15" t="inlineStr">
        <is>
          <t>45_テストエビデンス_画面結合.xlsx／SC-021</t>
        </is>
      </c>
      <c r="R45" s="12" t="n"/>
      <c r="S45" s="12" t="n"/>
      <c r="T45" s="12" t="n"/>
    </row>
    <row r="46" ht="13.5" customHeight="1">
      <c r="A46" s="12" t="inlineStr">
        <is>
          <t>IT-SC021-N03</t>
        </is>
      </c>
      <c r="B46" s="12" t="inlineStr">
        <is>
          <t>SC-021 イベント検索</t>
        </is>
      </c>
      <c r="C46" s="12" t="inlineStr">
        <is>
          <t>正常系</t>
        </is>
      </c>
      <c r="D46" s="12" t="inlineStr">
        <is>
          <t>開催日（から）で絞り込める</t>
        </is>
      </c>
      <c r="E46" s="12" t="inlineStr">
        <is>
          <t>一般ユーザーでログイン</t>
        </is>
      </c>
      <c r="F46" s="12" t="inlineStr">
        <is>
          <t>開催日（から）に日付を入力する</t>
        </is>
      </c>
      <c r="G46" s="12" t="inlineStr">
        <is>
          <t>その日以降に開催されるイベントだけが表示される</t>
        </is>
      </c>
      <c r="H46" s="12" t="inlineStr">
        <is>
          <t>-（参照のみ）</t>
        </is>
      </c>
      <c r="I46" s="12" t="inlineStr">
        <is>
          <t>-</t>
        </is>
      </c>
      <c r="J46" s="12" t="inlineStr">
        <is>
          <t>SC-021 項目②</t>
        </is>
      </c>
      <c r="K46" s="12" t="inlineStr">
        <is>
          <t>手動</t>
        </is>
      </c>
      <c r="L46" s="12" t="n"/>
      <c r="M46" s="12" t="inlineStr">
        <is>
          <t>OK</t>
        </is>
      </c>
      <c r="N46" s="23" t="n">
        <v>46308</v>
      </c>
      <c r="O46" s="12" t="inlineStr">
        <is>
          <t>佐々木</t>
        </is>
      </c>
      <c r="P46" s="12" t="n"/>
      <c r="Q46" s="15" t="inlineStr">
        <is>
          <t>45_テストエビデンス_画面結合.xlsx／SC-021</t>
        </is>
      </c>
      <c r="R46" s="12" t="n"/>
      <c r="S46" s="12" t="n"/>
      <c r="T46" s="12" t="n"/>
    </row>
    <row r="47" ht="13.5" customHeight="1">
      <c r="A47" s="12" t="inlineStr">
        <is>
          <t>IT-SC021-N04</t>
        </is>
      </c>
      <c r="B47" s="12" t="inlineStr">
        <is>
          <t>SC-021 イベント検索</t>
        </is>
      </c>
      <c r="C47" s="12" t="inlineStr">
        <is>
          <t>正常系</t>
        </is>
      </c>
      <c r="D47" s="12" t="inlineStr">
        <is>
          <t>開催日（まで）で絞り込める</t>
        </is>
      </c>
      <c r="E47" s="12" t="inlineStr">
        <is>
          <t>一般ユーザーでログイン</t>
        </is>
      </c>
      <c r="F47" s="12" t="inlineStr">
        <is>
          <t>開催日（まで）に日付を入力する</t>
        </is>
      </c>
      <c r="G47" s="12" t="inlineStr">
        <is>
          <t>その日以前に開催されるイベントだけが表示される</t>
        </is>
      </c>
      <c r="H47" s="12" t="inlineStr">
        <is>
          <t>-（参照のみ）</t>
        </is>
      </c>
      <c r="I47" s="12" t="inlineStr">
        <is>
          <t>-</t>
        </is>
      </c>
      <c r="J47" s="12" t="inlineStr">
        <is>
          <t>SC-021 項目③</t>
        </is>
      </c>
      <c r="K47" s="12" t="inlineStr">
        <is>
          <t>手動</t>
        </is>
      </c>
      <c r="L47" s="12" t="n"/>
      <c r="M47" s="12" t="inlineStr">
        <is>
          <t>OK</t>
        </is>
      </c>
      <c r="N47" s="23" t="n">
        <v>46308</v>
      </c>
      <c r="O47" s="12" t="inlineStr">
        <is>
          <t>佐々木</t>
        </is>
      </c>
      <c r="P47" s="12" t="n"/>
      <c r="Q47" s="15" t="inlineStr">
        <is>
          <t>45_テストエビデンス_画面結合.xlsx／SC-021</t>
        </is>
      </c>
      <c r="R47" s="12" t="n"/>
      <c r="S47" s="12" t="n"/>
      <c r="T47" s="12" t="n"/>
    </row>
    <row r="48" ht="27" customHeight="1">
      <c r="A48" s="12" t="inlineStr">
        <is>
          <t>IT-SC021-N05</t>
        </is>
      </c>
      <c r="B48" s="12" t="inlineStr">
        <is>
          <t>SC-021 イベント検索</t>
        </is>
      </c>
      <c r="C48" s="12" t="inlineStr">
        <is>
          <t>正常系</t>
        </is>
      </c>
      <c r="D48" s="12" t="inlineStr">
        <is>
          <t>条件をクリアすると全件表示に戻る</t>
        </is>
      </c>
      <c r="E48" s="12" t="inlineStr">
        <is>
          <t>一般ユーザーでログイン。キーワードを入力済み</t>
        </is>
      </c>
      <c r="F48" s="12" t="inlineStr">
        <is>
          <t>「条件をクリア」を押す</t>
        </is>
      </c>
      <c r="G48" s="12" t="inlineStr">
        <is>
          <t>入力欄が空になり、全てのイベントが表示される</t>
        </is>
      </c>
      <c r="H48" s="12" t="inlineStr">
        <is>
          <t>-（参照のみ）</t>
        </is>
      </c>
      <c r="I48" s="12" t="inlineStr">
        <is>
          <t>-</t>
        </is>
      </c>
      <c r="J48" s="12" t="inlineStr">
        <is>
          <t>SC-021 イベント処理4</t>
        </is>
      </c>
      <c r="K48" s="12" t="inlineStr">
        <is>
          <t>手動</t>
        </is>
      </c>
      <c r="L48" s="12" t="n"/>
      <c r="M48" s="12" t="inlineStr">
        <is>
          <t>OK</t>
        </is>
      </c>
      <c r="N48" s="23" t="n">
        <v>46308</v>
      </c>
      <c r="O48" s="12" t="inlineStr">
        <is>
          <t>佐々木</t>
        </is>
      </c>
      <c r="P48" s="12" t="n"/>
      <c r="Q48" s="15" t="inlineStr">
        <is>
          <t>45_テストエビデンス_画面結合.xlsx／SC-021</t>
        </is>
      </c>
      <c r="R48" s="12" t="n"/>
      <c r="S48" s="12" t="n"/>
      <c r="T48" s="12" t="n"/>
    </row>
    <row r="49" ht="27" customHeight="1">
      <c r="A49" s="12" t="inlineStr">
        <is>
          <t>IT-SC021-N06</t>
        </is>
      </c>
      <c r="B49" s="12" t="inlineStr">
        <is>
          <t>SC-021 イベント検索</t>
        </is>
      </c>
      <c r="C49" s="12" t="inlineStr">
        <is>
          <t>正常系</t>
        </is>
      </c>
      <c r="D49" s="12" t="inlineStr">
        <is>
          <t>該当するイベントが無い場合は0件と表示される</t>
        </is>
      </c>
      <c r="E49" s="12" t="inlineStr">
        <is>
          <t>一般ユーザーでログイン</t>
        </is>
      </c>
      <c r="F49" s="12" t="inlineStr">
        <is>
          <t>キーワードに、どのイベントにも含まれない文字列を入力する</t>
        </is>
      </c>
      <c r="G49" s="12" t="inlineStr">
        <is>
          <t>該当するイベントが無い旨が表示される</t>
        </is>
      </c>
      <c r="H49" s="12" t="inlineStr">
        <is>
          <t>-（参照のみ）</t>
        </is>
      </c>
      <c r="I49" s="12" t="inlineStr">
        <is>
          <t>-</t>
        </is>
      </c>
      <c r="J49" s="12" t="inlineStr">
        <is>
          <t>SC-021 項目⑥</t>
        </is>
      </c>
      <c r="K49" s="12" t="inlineStr">
        <is>
          <t>手動</t>
        </is>
      </c>
      <c r="L49" s="12" t="n"/>
      <c r="M49" s="12" t="inlineStr">
        <is>
          <t>OK</t>
        </is>
      </c>
      <c r="N49" s="23" t="n">
        <v>46308</v>
      </c>
      <c r="O49" s="12" t="inlineStr">
        <is>
          <t>佐々木</t>
        </is>
      </c>
      <c r="P49" s="12" t="n"/>
      <c r="Q49" s="15" t="inlineStr">
        <is>
          <t>45_テストエビデンス_画面結合.xlsx／SC-021</t>
        </is>
      </c>
      <c r="R49" s="12" t="n"/>
      <c r="S49" s="12" t="n"/>
      <c r="T49" s="12" t="n"/>
    </row>
    <row r="50" ht="27" customHeight="1">
      <c r="A50" s="12" t="inlineStr">
        <is>
          <t>IT-SC021-N07</t>
        </is>
      </c>
      <c r="B50" s="12" t="inlineStr">
        <is>
          <t>SC-021 イベント検索</t>
        </is>
      </c>
      <c r="C50" s="12" t="inlineStr">
        <is>
          <t>正常系</t>
        </is>
      </c>
      <c r="D50" s="12" t="inlineStr">
        <is>
          <t>検索結果でも、開催済みのイベントは末尾に表示される</t>
        </is>
      </c>
      <c r="E50" s="12" t="inlineStr">
        <is>
          <t>一般ユーザーでログイン、TD-04</t>
        </is>
      </c>
      <c r="F50" s="12" t="inlineStr">
        <is>
          <t>検索条件を空にして結果を確認する</t>
        </is>
      </c>
      <c r="G50" s="12" t="inlineStr">
        <is>
          <t>開催前のイベントの後ろに、開催済みのイベントが並ぶ</t>
        </is>
      </c>
      <c r="H50" s="12" t="inlineStr">
        <is>
          <t>-（参照のみ）</t>
        </is>
      </c>
      <c r="I50" s="12" t="inlineStr">
        <is>
          <t>-</t>
        </is>
      </c>
      <c r="J50" s="12" t="inlineStr">
        <is>
          <t>SC-021 項目⑬</t>
        </is>
      </c>
      <c r="K50" s="12" t="inlineStr">
        <is>
          <t>手動</t>
        </is>
      </c>
      <c r="L50" s="12" t="n"/>
      <c r="M50" s="12" t="inlineStr">
        <is>
          <t>OK</t>
        </is>
      </c>
      <c r="N50" s="23" t="n">
        <v>46308</v>
      </c>
      <c r="O50" s="12" t="inlineStr">
        <is>
          <t>佐々木</t>
        </is>
      </c>
      <c r="P50" s="12" t="n"/>
      <c r="Q50" s="15" t="inlineStr">
        <is>
          <t>45_テストエビデンス_画面結合.xlsx／SC-021</t>
        </is>
      </c>
      <c r="R50" s="12" t="n"/>
      <c r="S50" s="12" t="n"/>
      <c r="T50" s="12" t="n"/>
    </row>
    <row r="51" ht="27" customHeight="1">
      <c r="A51" s="12" t="inlineStr">
        <is>
          <t>IT-SC021-N08</t>
        </is>
      </c>
      <c r="B51" s="12" t="inlineStr">
        <is>
          <t>SC-021 イベント検索</t>
        </is>
      </c>
      <c r="C51" s="12" t="inlineStr">
        <is>
          <t>正常系</t>
        </is>
      </c>
      <c r="D51" s="12" t="inlineStr">
        <is>
          <t>絞り込んだ結果の中でも、開催済みのイベントは末尾に表示される</t>
        </is>
      </c>
      <c r="E51" s="12" t="inlineStr">
        <is>
          <t>一般ユーザーでログイン、TD-02、TD-04</t>
        </is>
      </c>
      <c r="F51" s="12" t="inlineStr">
        <is>
          <t>キーワードに「テスト」と入力する</t>
        </is>
      </c>
      <c r="G51" s="12" t="inlineStr">
        <is>
          <t>「定員1テスト」等の開催前のイベントの後ろに、「開催済テスト」が並ぶ</t>
        </is>
      </c>
      <c r="H51" s="12" t="inlineStr">
        <is>
          <t>-（参照のみ）</t>
        </is>
      </c>
      <c r="I51" s="12" t="inlineStr">
        <is>
          <t>-</t>
        </is>
      </c>
      <c r="J51" s="12" t="inlineStr">
        <is>
          <t>SC-021 イベント処理2</t>
        </is>
      </c>
      <c r="K51" s="12" t="inlineStr">
        <is>
          <t>手動</t>
        </is>
      </c>
      <c r="L51" s="12" t="n"/>
      <c r="M51" s="12" t="inlineStr">
        <is>
          <t>OK</t>
        </is>
      </c>
      <c r="N51" s="23" t="n">
        <v>46308</v>
      </c>
      <c r="O51" s="12" t="inlineStr">
        <is>
          <t>佐々木</t>
        </is>
      </c>
      <c r="P51" s="12" t="n"/>
      <c r="Q51" s="15" t="inlineStr">
        <is>
          <t>45_テストエビデンス_画面結合.xlsx／SC-021</t>
        </is>
      </c>
      <c r="R51" s="12" t="n"/>
      <c r="S51" s="12" t="n"/>
      <c r="T51" s="12" t="n"/>
    </row>
    <row r="52" ht="13.5" customHeight="1">
      <c r="A52" s="12" t="inlineStr">
        <is>
          <t>IT-SC021-N09</t>
        </is>
      </c>
      <c r="B52" s="12" t="inlineStr">
        <is>
          <t>SC-021 イベント検索</t>
        </is>
      </c>
      <c r="C52" s="12" t="inlineStr">
        <is>
          <t>正常系</t>
        </is>
      </c>
      <c r="D52" s="12" t="inlineStr">
        <is>
          <t>検索結果を申込数の多い順に並び替えられる</t>
        </is>
      </c>
      <c r="E52" s="12" t="inlineStr">
        <is>
          <t>一般ユーザーでログイン</t>
        </is>
      </c>
      <c r="F52" s="12" t="inlineStr">
        <is>
          <t>並び替えで「申込数の多い順」を選ぶ</t>
        </is>
      </c>
      <c r="G52" s="12" t="inlineStr">
        <is>
          <t>開催前のイベントが受付済の件数の多い順に並ぶ</t>
        </is>
      </c>
      <c r="H52" s="12" t="inlineStr">
        <is>
          <t>-（参照のみ）</t>
        </is>
      </c>
      <c r="I52" s="12" t="inlineStr">
        <is>
          <t>-</t>
        </is>
      </c>
      <c r="J52" s="12" t="inlineStr">
        <is>
          <t>SC-021 イベント処理3</t>
        </is>
      </c>
      <c r="K52" s="12" t="inlineStr">
        <is>
          <t>手動</t>
        </is>
      </c>
      <c r="L52" s="12" t="n"/>
      <c r="M52" s="12" t="inlineStr">
        <is>
          <t>OK</t>
        </is>
      </c>
      <c r="N52" s="23" t="n">
        <v>46308</v>
      </c>
      <c r="O52" s="12" t="inlineStr">
        <is>
          <t>佐々木</t>
        </is>
      </c>
      <c r="P52" s="12" t="n"/>
      <c r="Q52" s="15" t="inlineStr">
        <is>
          <t>45_テストエビデンス_画面結合.xlsx／SC-021</t>
        </is>
      </c>
      <c r="R52" s="12" t="n"/>
      <c r="S52" s="12" t="n"/>
      <c r="T52" s="12" t="n"/>
    </row>
    <row r="53" ht="27" customHeight="1">
      <c r="A53" s="12" t="inlineStr">
        <is>
          <t>IT-SC021-N10</t>
        </is>
      </c>
      <c r="B53" s="12" t="inlineStr">
        <is>
          <t>SC-021 イベント検索</t>
        </is>
      </c>
      <c r="C53" s="12" t="inlineStr">
        <is>
          <t>正常系</t>
        </is>
      </c>
      <c r="D53" s="12" t="inlineStr">
        <is>
          <t>検索結果からイベント詳細へ遷移し、検索画面に戻れる</t>
        </is>
      </c>
      <c r="E53" s="12" t="inlineStr">
        <is>
          <t>一般ユーザーでログイン</t>
        </is>
      </c>
      <c r="F53" s="12" t="inlineStr">
        <is>
          <t>イベント名を押してSC-022を開き、「← イベント検索に戻る」を押す</t>
        </is>
      </c>
      <c r="G53" s="12" t="inlineStr">
        <is>
          <t>SC-021に戻る</t>
        </is>
      </c>
      <c r="H53" s="12" t="inlineStr">
        <is>
          <t>-（参照のみ）</t>
        </is>
      </c>
      <c r="I53" s="12" t="inlineStr">
        <is>
          <t>-</t>
        </is>
      </c>
      <c r="J53" s="12" t="inlineStr">
        <is>
          <t>SC-021 イベント処理5</t>
        </is>
      </c>
      <c r="K53" s="12" t="inlineStr">
        <is>
          <t>手動</t>
        </is>
      </c>
      <c r="L53" s="12" t="n"/>
      <c r="M53" s="12" t="inlineStr">
        <is>
          <t>OK</t>
        </is>
      </c>
      <c r="N53" s="23" t="n">
        <v>46308</v>
      </c>
      <c r="O53" s="12" t="inlineStr">
        <is>
          <t>佐々木</t>
        </is>
      </c>
      <c r="P53" s="12" t="n"/>
      <c r="Q53" s="15" t="inlineStr">
        <is>
          <t>45_テストエビデンス_画面結合.xlsx／SC-021</t>
        </is>
      </c>
      <c r="R53" s="12" t="n"/>
      <c r="S53" s="12" t="n"/>
      <c r="T53" s="12" t="n"/>
    </row>
    <row r="54" ht="27" customHeight="1">
      <c r="A54" s="12" t="inlineStr">
        <is>
          <t>IT-SC021-N11</t>
        </is>
      </c>
      <c r="B54" s="12" t="inlineStr">
        <is>
          <t>SC-021 イベント検索</t>
        </is>
      </c>
      <c r="C54" s="12" t="inlineStr">
        <is>
          <t>正常系</t>
        </is>
      </c>
      <c r="D54" s="12" t="inlineStr">
        <is>
          <t>検索結果から開いた詳細でお気に入りに登録すると、検索画面のお気に入り数に反映される</t>
        </is>
      </c>
      <c r="E54" s="12" t="inlineStr">
        <is>
          <t>一般ユーザーでログイン、TD-02（お気に入り登録なし）</t>
        </is>
      </c>
      <c r="F54" s="12" t="inlineStr">
        <is>
          <t>TD-02のイベント名を押してSC-022を開き、「☆ お気に入りに追加」を押してからSC-021に戻る</t>
        </is>
      </c>
      <c r="G54" s="12" t="inlineStr">
        <is>
          <t>SC-021のTD-02のお気に入り数が1増える</t>
        </is>
      </c>
      <c r="H54" s="12" t="inlineStr">
        <is>
          <t>favoritesに1行追加される</t>
        </is>
      </c>
      <c r="I54" s="12" t="inlineStr">
        <is>
          <t>【操作の前と後に実行し、期待結果のとおりであることを確認する】
SELECT id, event_id, user_id, created_at FROM favorites ORDER BY id;</t>
        </is>
      </c>
      <c r="J54" s="12" t="inlineStr">
        <is>
          <t>SC-021 イベント処理5、SC-022 イベント処理2</t>
        </is>
      </c>
      <c r="K54" s="12" t="inlineStr">
        <is>
          <t>手動</t>
        </is>
      </c>
      <c r="L54" s="12" t="n"/>
      <c r="M54" s="12" t="inlineStr">
        <is>
          <t>OK</t>
        </is>
      </c>
      <c r="N54" s="23" t="n">
        <v>46308</v>
      </c>
      <c r="O54" s="12" t="inlineStr">
        <is>
          <t>佐々木</t>
        </is>
      </c>
      <c r="P54" s="12" t="n"/>
      <c r="Q54" s="15" t="inlineStr">
        <is>
          <t>45_テストエビデンス_画面結合.xlsx／SC-021</t>
        </is>
      </c>
      <c r="R54" s="12" t="n"/>
      <c r="S54" s="12" t="n"/>
      <c r="T54" s="12" t="n"/>
    </row>
    <row r="55" ht="40.5" customHeight="1">
      <c r="A55" s="12" t="inlineStr">
        <is>
          <t>IT-SC022-N01</t>
        </is>
      </c>
      <c r="B55" s="12" t="inlineStr">
        <is>
          <t>SC-022 イベント詳細・申込</t>
        </is>
      </c>
      <c r="C55" s="12" t="inlineStr">
        <is>
          <t>正常系</t>
        </is>
      </c>
      <c r="D55" s="12" t="inlineStr">
        <is>
          <t>イベントの詳細が表示される</t>
        </is>
      </c>
      <c r="E55" s="12" t="inlineStr">
        <is>
          <t>一般ユーザーでログイン、TD-01</t>
        </is>
      </c>
      <c r="F55" s="12" t="inlineStr">
        <is>
          <t>TD-01のSC-022を開く</t>
        </is>
      </c>
      <c r="G55" s="12" t="inlineStr">
        <is>
          <t>イベント名・開催日時・場所・定員・残り枠・申込締切・受付状況・説明・参加区分ごとの残り枠・アンケートの質問文が表示される</t>
        </is>
      </c>
      <c r="H55" s="12" t="inlineStr">
        <is>
          <t>-（参照のみ）</t>
        </is>
      </c>
      <c r="I55" s="12" t="inlineStr">
        <is>
          <t>-</t>
        </is>
      </c>
      <c r="J55" s="12" t="inlineStr">
        <is>
          <t>SC-022 項目②〜⑯</t>
        </is>
      </c>
      <c r="K55" s="12" t="inlineStr">
        <is>
          <t>手動</t>
        </is>
      </c>
      <c r="L55" s="12" t="n"/>
      <c r="M55" s="12" t="inlineStr">
        <is>
          <t>OK</t>
        </is>
      </c>
      <c r="N55" s="23" t="n">
        <v>46308</v>
      </c>
      <c r="O55" s="12" t="inlineStr">
        <is>
          <t>佐々木</t>
        </is>
      </c>
      <c r="P55" s="12" t="n"/>
      <c r="Q55" s="15" t="inlineStr">
        <is>
          <t>45_テストエビデンス_画面結合.xlsx／SC-022</t>
        </is>
      </c>
      <c r="R55" s="12" t="n"/>
      <c r="S55" s="12" t="n"/>
      <c r="T55" s="12" t="n"/>
    </row>
    <row r="56" ht="54" customHeight="1">
      <c r="A56" s="12" t="inlineStr">
        <is>
          <t>IT-SC022-N02</t>
        </is>
      </c>
      <c r="B56" s="12" t="inlineStr">
        <is>
          <t>SC-022 イベント詳細・申込</t>
        </is>
      </c>
      <c r="C56" s="12" t="inlineStr">
        <is>
          <t>正常系</t>
        </is>
      </c>
      <c r="D56" s="12" t="inlineStr">
        <is>
          <t>参加区分を選び、アンケートに回答して申し込める</t>
        </is>
      </c>
      <c r="E56" s="12" t="inlineStr">
        <is>
          <t>一般ユーザーでログイン、TD-01（申込なし）</t>
        </is>
      </c>
      <c r="F56" s="12" t="inlineStr">
        <is>
          <t>参加区分「一般」を選び、アンケートに「勉強のため」と入力して「申し込む」を押す</t>
        </is>
      </c>
      <c r="G56" s="12" t="inlineStr">
        <is>
          <t>SC-023へ遷移し、ステータス「受付済」が表示される</t>
        </is>
      </c>
      <c r="H56" s="12" t="inlineStr">
        <is>
          <t>applicationsに1行追加される（ticket_type_id=「一般」のID、extra_answer=「勉強のため」、status_code=1）</t>
        </is>
      </c>
      <c r="I56" s="12" t="inlineStr">
        <is>
          <t>【操作の前と後に実行し、期待結果のとおりであることを確認する】
SELECT id, event_id, user_id, ticket_type_id, status_code, extra_answer, checked_in_at, updated_at FROM applications ORDER BY id;</t>
        </is>
      </c>
      <c r="J56" s="12" t="inlineStr">
        <is>
          <t>SC-022 イベント処理3</t>
        </is>
      </c>
      <c r="K56" s="12" t="inlineStr">
        <is>
          <t>手動</t>
        </is>
      </c>
      <c r="L56" s="12" t="n"/>
      <c r="M56" s="12" t="inlineStr">
        <is>
          <t>OK</t>
        </is>
      </c>
      <c r="N56" s="23" t="n">
        <v>46308</v>
      </c>
      <c r="O56" s="12" t="inlineStr">
        <is>
          <t>佐々木</t>
        </is>
      </c>
      <c r="P56" s="12" t="n"/>
      <c r="Q56" s="15" t="inlineStr">
        <is>
          <t>45_テストエビデンス_画面結合.xlsx／SC-022</t>
        </is>
      </c>
      <c r="R56" s="12" t="n"/>
      <c r="S56" s="12" t="n"/>
      <c r="T56" s="12" t="n"/>
    </row>
    <row r="57" ht="27" customHeight="1">
      <c r="A57" s="12" t="inlineStr">
        <is>
          <t>IT-SC022-N03</t>
        </is>
      </c>
      <c r="B57" s="12" t="inlineStr">
        <is>
          <t>SC-022 イベント詳細・申込</t>
        </is>
      </c>
      <c r="C57" s="12" t="inlineStr">
        <is>
          <t>正常系</t>
        </is>
      </c>
      <c r="D57" s="12" t="inlineStr">
        <is>
          <t>一覧から開いた場合、「戻る」で一覧に戻る</t>
        </is>
      </c>
      <c r="E57" s="12" t="inlineStr">
        <is>
          <t>一般ユーザーでログイン</t>
        </is>
      </c>
      <c r="F57" s="12" t="inlineStr">
        <is>
          <t>SC-020からイベント名を押してSC-022を開き、「← イベント一覧に戻る」を押す</t>
        </is>
      </c>
      <c r="G57" s="12" t="inlineStr">
        <is>
          <t>SC-020に戻る</t>
        </is>
      </c>
      <c r="H57" s="12" t="inlineStr">
        <is>
          <t>-（参照のみ）</t>
        </is>
      </c>
      <c r="I57" s="12" t="inlineStr">
        <is>
          <t>-</t>
        </is>
      </c>
      <c r="J57" s="12" t="inlineStr">
        <is>
          <t>SC-022 項目①</t>
        </is>
      </c>
      <c r="K57" s="12" t="inlineStr">
        <is>
          <t>手動</t>
        </is>
      </c>
      <c r="L57" s="12" t="n"/>
      <c r="M57" s="12" t="inlineStr">
        <is>
          <t>OK</t>
        </is>
      </c>
      <c r="N57" s="23" t="n">
        <v>46308</v>
      </c>
      <c r="O57" s="12" t="inlineStr">
        <is>
          <t>佐々木</t>
        </is>
      </c>
      <c r="P57" s="12" t="n"/>
      <c r="Q57" s="15" t="inlineStr">
        <is>
          <t>45_テストエビデンス_画面結合.xlsx／SC-022</t>
        </is>
      </c>
      <c r="R57" s="12" t="n"/>
      <c r="S57" s="12" t="n"/>
      <c r="T57" s="12" t="n"/>
    </row>
    <row r="58" ht="27" customHeight="1">
      <c r="A58" s="12" t="inlineStr">
        <is>
          <t>IT-SC022-N04</t>
        </is>
      </c>
      <c r="B58" s="12" t="inlineStr">
        <is>
          <t>SC-022 イベント詳細・申込</t>
        </is>
      </c>
      <c r="C58" s="12" t="inlineStr">
        <is>
          <t>正常系</t>
        </is>
      </c>
      <c r="D58" s="12" t="inlineStr">
        <is>
          <t>お気に入りに登録できる</t>
        </is>
      </c>
      <c r="E58" s="12" t="inlineStr">
        <is>
          <t>一般ユーザーでログイン、TD-01（お気に入り登録なし）</t>
        </is>
      </c>
      <c r="F58" s="12" t="inlineStr">
        <is>
          <t>「☆ お気に入りに追加」を押す</t>
        </is>
      </c>
      <c r="G58" s="12" t="inlineStr">
        <is>
          <t>「★ お気に入り済み」に変わり、お気に入り数が1増える</t>
        </is>
      </c>
      <c r="H58" s="12" t="inlineStr">
        <is>
          <t>favoritesに1行追加される</t>
        </is>
      </c>
      <c r="I58" s="12" t="inlineStr">
        <is>
          <t>【操作の前と後に実行し、期待結果のとおりであることを確認する】
SELECT id, event_id, user_id, created_at FROM favorites ORDER BY id;</t>
        </is>
      </c>
      <c r="J58" s="12" t="inlineStr">
        <is>
          <t>SC-022 イベント処理2</t>
        </is>
      </c>
      <c r="K58" s="12" t="inlineStr">
        <is>
          <t>手動</t>
        </is>
      </c>
      <c r="L58" s="12" t="n"/>
      <c r="M58" s="12" t="inlineStr">
        <is>
          <t>OK</t>
        </is>
      </c>
      <c r="N58" s="23" t="n">
        <v>46308</v>
      </c>
      <c r="O58" s="12" t="inlineStr">
        <is>
          <t>佐々木</t>
        </is>
      </c>
      <c r="P58" s="12" t="n"/>
      <c r="Q58" s="15" t="inlineStr">
        <is>
          <t>45_テストエビデンス_画面結合.xlsx／SC-022</t>
        </is>
      </c>
      <c r="R58" s="12" t="n"/>
      <c r="S58" s="12" t="n"/>
      <c r="T58" s="12" t="n"/>
    </row>
    <row r="59" ht="27" customHeight="1">
      <c r="A59" s="12" t="inlineStr">
        <is>
          <t>IT-SC022-N05</t>
        </is>
      </c>
      <c r="B59" s="12" t="inlineStr">
        <is>
          <t>SC-022 イベント詳細・申込</t>
        </is>
      </c>
      <c r="C59" s="12" t="inlineStr">
        <is>
          <t>正常系</t>
        </is>
      </c>
      <c r="D59" s="12" t="inlineStr">
        <is>
          <t>コメントを投稿できる</t>
        </is>
      </c>
      <c r="E59" s="12" t="inlineStr">
        <is>
          <t>一般ユーザーでログイン、TD-01</t>
        </is>
      </c>
      <c r="F59" s="12" t="inlineStr">
        <is>
          <t>コメント欄に「駐車場はありますか」と入力し「投稿」を押す</t>
        </is>
      </c>
      <c r="G59" s="12" t="inlineStr">
        <is>
          <t>コメント一覧に追加され、入力欄が空になる。自分のコメントに「削除」が表示される</t>
        </is>
      </c>
      <c r="H59" s="12" t="inlineStr">
        <is>
          <t>event_commentsに1行追加される（parent_comment_id=NULL）</t>
        </is>
      </c>
      <c r="I59" s="12" t="inlineStr">
        <is>
          <t>【操作の前と後に実行し、期待結果のとおりであることを確認する】
SELECT id, event_id, user_id, parent_comment_id, body, deleted_at, updated_at FROM event_comments ORDER BY id;</t>
        </is>
      </c>
      <c r="J59" s="12" t="inlineStr">
        <is>
          <t>SC-022 イベント処理4</t>
        </is>
      </c>
      <c r="K59" s="12" t="inlineStr">
        <is>
          <t>手動</t>
        </is>
      </c>
      <c r="L59" s="12" t="n"/>
      <c r="M59" s="12" t="inlineStr">
        <is>
          <t>OK</t>
        </is>
      </c>
      <c r="N59" s="23" t="n">
        <v>46308</v>
      </c>
      <c r="O59" s="12" t="inlineStr">
        <is>
          <t>佐々木</t>
        </is>
      </c>
      <c r="P59" s="12" t="n"/>
      <c r="Q59" s="15" t="inlineStr">
        <is>
          <t>45_テストエビデンス_画面結合.xlsx／SC-022</t>
        </is>
      </c>
      <c r="R59" s="12" t="n"/>
      <c r="S59" s="12" t="n"/>
      <c r="T59" s="12" t="n"/>
    </row>
    <row r="60" ht="27" customHeight="1">
      <c r="A60" s="12" t="inlineStr">
        <is>
          <t>IT-SC022-N06</t>
        </is>
      </c>
      <c r="B60" s="12" t="inlineStr">
        <is>
          <t>SC-022 イベント詳細・申込</t>
        </is>
      </c>
      <c r="C60" s="12" t="inlineStr">
        <is>
          <t>正常系</t>
        </is>
      </c>
      <c r="D60" s="12" t="inlineStr">
        <is>
          <t>コメントに返信できる</t>
        </is>
      </c>
      <c r="E60" s="12" t="inlineStr">
        <is>
          <t>一般ユーザーでログイン、TD-01にコメントがある</t>
        </is>
      </c>
      <c r="F60" s="12" t="inlineStr">
        <is>
          <t>コメントの「返信」を押し、表示された入力欄に入力して「返信を投稿」を押す</t>
        </is>
      </c>
      <c r="G60" s="12" t="inlineStr">
        <is>
          <t>返信が親コメントの下に字下げして表示される</t>
        </is>
      </c>
      <c r="H60" s="12" t="inlineStr">
        <is>
          <t>event_commentsに1行追加される（parent_comment_id=親コメントのID）</t>
        </is>
      </c>
      <c r="I60" s="12" t="inlineStr">
        <is>
          <t>【操作の前と後に実行し、期待結果のとおりであることを確認する】
SELECT id, event_id, user_id, parent_comment_id, body, deleted_at, updated_at FROM event_comments ORDER BY id;</t>
        </is>
      </c>
      <c r="J60" s="12" t="inlineStr">
        <is>
          <t>SC-022 イベント処理6</t>
        </is>
      </c>
      <c r="K60" s="12" t="inlineStr">
        <is>
          <t>手動</t>
        </is>
      </c>
      <c r="L60" s="12" t="n"/>
      <c r="M60" s="12" t="inlineStr">
        <is>
          <t>OK</t>
        </is>
      </c>
      <c r="N60" s="23" t="n">
        <v>46308</v>
      </c>
      <c r="O60" s="12" t="inlineStr">
        <is>
          <t>佐々木</t>
        </is>
      </c>
      <c r="P60" s="12" t="n"/>
      <c r="Q60" s="15" t="inlineStr">
        <is>
          <t>45_テストエビデンス_画面結合.xlsx／SC-022</t>
        </is>
      </c>
      <c r="R60" s="12" t="n"/>
      <c r="S60" s="12" t="n"/>
      <c r="T60" s="12" t="n"/>
    </row>
    <row r="61" ht="27" customHeight="1">
      <c r="A61" s="12" t="inlineStr">
        <is>
          <t>IT-SC022-N07</t>
        </is>
      </c>
      <c r="B61" s="12" t="inlineStr">
        <is>
          <t>SC-022 イベント詳細・申込</t>
        </is>
      </c>
      <c r="C61" s="12" t="inlineStr">
        <is>
          <t>正常系</t>
        </is>
      </c>
      <c r="D61" s="12" t="inlineStr">
        <is>
          <t>返信の無い自分のコメントを削除すると一覧から消える</t>
        </is>
      </c>
      <c r="E61" s="12" t="inlineStr">
        <is>
          <t>一般ユーザーでログイン。返信の無い自分のコメントがある</t>
        </is>
      </c>
      <c r="F61" s="12" t="inlineStr">
        <is>
          <t>そのコメントの「削除」を押し、確認でOKを押す</t>
        </is>
      </c>
      <c r="G61" s="12" t="inlineStr">
        <is>
          <t>コメントが一覧から消える</t>
        </is>
      </c>
      <c r="H61" s="12" t="inlineStr">
        <is>
          <t>event_commentsの該当の行が削除される</t>
        </is>
      </c>
      <c r="I61" s="12" t="inlineStr">
        <is>
          <t>【操作の前と後に実行し、期待結果のとおりであることを確認する】
SELECT id, event_id, user_id, parent_comment_id, body, deleted_at, updated_at FROM event_comments ORDER BY id;</t>
        </is>
      </c>
      <c r="J61" s="12" t="inlineStr">
        <is>
          <t>SC-022 イベント処理7</t>
        </is>
      </c>
      <c r="K61" s="12" t="inlineStr">
        <is>
          <t>手動</t>
        </is>
      </c>
      <c r="L61" s="12" t="n"/>
      <c r="M61" s="12" t="inlineStr">
        <is>
          <t>OK</t>
        </is>
      </c>
      <c r="N61" s="23" t="n">
        <v>46308</v>
      </c>
      <c r="O61" s="12" t="inlineStr">
        <is>
          <t>佐々木</t>
        </is>
      </c>
      <c r="P61" s="12" t="n"/>
      <c r="Q61" s="15" t="inlineStr">
        <is>
          <t>45_テストエビデンス_画面結合.xlsx／SC-022</t>
        </is>
      </c>
      <c r="R61" s="12" t="n"/>
      <c r="S61" s="12" t="n"/>
      <c r="T61" s="12" t="n"/>
    </row>
    <row r="62" ht="27" customHeight="1">
      <c r="A62" s="12" t="inlineStr">
        <is>
          <t>IT-SC022-N08</t>
        </is>
      </c>
      <c r="B62" s="12" t="inlineStr">
        <is>
          <t>SC-022 イベント詳細・申込</t>
        </is>
      </c>
      <c r="C62" s="12" t="inlineStr">
        <is>
          <t>正常系</t>
        </is>
      </c>
      <c r="D62" s="12" t="inlineStr">
        <is>
          <t>返信のある自分のコメントを削除すると、削除済みの表示に変わる</t>
        </is>
      </c>
      <c r="E62" s="12" t="inlineStr">
        <is>
          <t>一般ユーザーでログイン。返信のある自分のコメントがある</t>
        </is>
      </c>
      <c r="F62" s="12" t="inlineStr">
        <is>
          <t>そのコメントの「削除」を押し、確認でOKを押す</t>
        </is>
      </c>
      <c r="G62" s="12" t="inlineStr">
        <is>
          <t>本文が「このコメントは削除されました」に変わり、返信は残る。そのコメントの「削除」は表示されなくなる</t>
        </is>
      </c>
      <c r="H62" s="12" t="inlineStr">
        <is>
          <t>該当の行は残り、deleted_atに日時が入る</t>
        </is>
      </c>
      <c r="I62" s="12" t="inlineStr">
        <is>
          <t>【操作の前と後に実行し、期待結果のとおりであることを確認する】
SELECT id, event_id, user_id, parent_comment_id, body, deleted_at, updated_at FROM event_comments ORDER BY id;</t>
        </is>
      </c>
      <c r="J62" s="12" t="inlineStr">
        <is>
          <t>SC-022 イベント処理7</t>
        </is>
      </c>
      <c r="K62" s="12" t="inlineStr">
        <is>
          <t>手動</t>
        </is>
      </c>
      <c r="L62" s="12" t="n"/>
      <c r="M62" s="12" t="inlineStr">
        <is>
          <t>OK</t>
        </is>
      </c>
      <c r="N62" s="23" t="n">
        <v>46308</v>
      </c>
      <c r="O62" s="12" t="inlineStr">
        <is>
          <t>佐々木</t>
        </is>
      </c>
      <c r="P62" s="12" t="n"/>
      <c r="Q62" s="15" t="inlineStr">
        <is>
          <t>45_テストエビデンス_画面結合.xlsx／SC-022</t>
        </is>
      </c>
      <c r="R62" s="12" t="n"/>
      <c r="S62" s="12" t="n"/>
      <c r="T62" s="12" t="n"/>
    </row>
    <row r="63" ht="27" customHeight="1">
      <c r="A63" s="12" t="inlineStr">
        <is>
          <t>IT-SC022-N09</t>
        </is>
      </c>
      <c r="B63" s="12" t="inlineStr">
        <is>
          <t>SC-022 イベント詳細・申込</t>
        </is>
      </c>
      <c r="C63" s="12" t="inlineStr">
        <is>
          <t>正常系</t>
        </is>
      </c>
      <c r="D63" s="12" t="inlineStr">
        <is>
          <t>管理者には、他人のコメントにも「削除」が表示される</t>
        </is>
      </c>
      <c r="E63" s="12" t="inlineStr">
        <is>
          <t>管理者でログイン。一般ユーザーのコメントがある</t>
        </is>
      </c>
      <c r="F63" s="12" t="inlineStr">
        <is>
          <t>URLを直接指定してそのイベントのSC-022を開く</t>
        </is>
      </c>
      <c r="G63" s="12" t="inlineStr">
        <is>
          <t>一般ユーザーのコメントに「削除」が表示される</t>
        </is>
      </c>
      <c r="H63" s="12" t="inlineStr">
        <is>
          <t>-（参照のみ）</t>
        </is>
      </c>
      <c r="I63" s="12" t="inlineStr">
        <is>
          <t>-</t>
        </is>
      </c>
      <c r="J63" s="12" t="inlineStr">
        <is>
          <t>SC-022 項目㉖</t>
        </is>
      </c>
      <c r="K63" s="12" t="inlineStr">
        <is>
          <t>手動</t>
        </is>
      </c>
      <c r="L63" s="12" t="n"/>
      <c r="M63" s="12" t="inlineStr">
        <is>
          <t>OK</t>
        </is>
      </c>
      <c r="N63" s="23" t="n">
        <v>46308</v>
      </c>
      <c r="O63" s="12" t="inlineStr">
        <is>
          <t>佐々木</t>
        </is>
      </c>
      <c r="P63" s="12" t="n"/>
      <c r="Q63" s="15" t="inlineStr">
        <is>
          <t>45_テストエビデンス_画面結合.xlsx／SC-022</t>
        </is>
      </c>
      <c r="R63" s="12" t="n"/>
      <c r="S63" s="12" t="n"/>
      <c r="T63" s="12" t="n"/>
    </row>
    <row r="64" ht="13.5" customHeight="1">
      <c r="A64" s="12" t="inlineStr">
        <is>
          <t>IT-SC022-E01</t>
        </is>
      </c>
      <c r="B64" s="12" t="inlineStr">
        <is>
          <t>SC-022 イベント詳細・申込</t>
        </is>
      </c>
      <c r="C64" s="12" t="inlineStr">
        <is>
          <t>異常系</t>
        </is>
      </c>
      <c r="D64" s="12" t="inlineStr">
        <is>
          <t>参加区分を選ばずに申し込むとエラーになる</t>
        </is>
      </c>
      <c r="E64" s="12" t="inlineStr">
        <is>
          <t>一般ユーザーでログイン、TD-01</t>
        </is>
      </c>
      <c r="F64" s="12" t="inlineStr">
        <is>
          <t>参加区分を選ばずに「申し込む」を押す</t>
        </is>
      </c>
      <c r="G64" s="12" t="inlineStr">
        <is>
          <t>「区分を選択してください」が表示され、遷移しない</t>
        </is>
      </c>
      <c r="H64" s="12" t="inlineStr">
        <is>
          <t>applicationsは変更されない</t>
        </is>
      </c>
      <c r="I64" s="12" t="inlineStr">
        <is>
          <t>【操作の前と後に実行し、結果が同じことを確認する】
SELECT * FROM applications ORDER BY id;</t>
        </is>
      </c>
      <c r="J64" s="12" t="inlineStr">
        <is>
          <t>E-B-004</t>
        </is>
      </c>
      <c r="K64" s="12" t="inlineStr">
        <is>
          <t>手動</t>
        </is>
      </c>
      <c r="L64" s="12" t="n"/>
      <c r="M64" s="12" t="inlineStr">
        <is>
          <t>OK</t>
        </is>
      </c>
      <c r="N64" s="23" t="n">
        <v>46308</v>
      </c>
      <c r="O64" s="12" t="inlineStr">
        <is>
          <t>佐々木</t>
        </is>
      </c>
      <c r="P64" s="12" t="n"/>
      <c r="Q64" s="15" t="inlineStr">
        <is>
          <t>45_テストエビデンス_画面結合.xlsx／SC-022</t>
        </is>
      </c>
      <c r="R64" s="12" t="n"/>
      <c r="S64" s="12" t="n"/>
      <c r="T64" s="12" t="n"/>
    </row>
    <row r="65" ht="27" customHeight="1">
      <c r="A65" s="12" t="inlineStr">
        <is>
          <t>IT-SC022-E02</t>
        </is>
      </c>
      <c r="B65" s="12" t="inlineStr">
        <is>
          <t>SC-022 イベント詳細・申込</t>
        </is>
      </c>
      <c r="C65" s="12" t="inlineStr">
        <is>
          <t>異常系</t>
        </is>
      </c>
      <c r="D65" s="12" t="inlineStr">
        <is>
          <t>申込済みのイベントには重ねて申し込めない</t>
        </is>
      </c>
      <c r="E65" s="12" t="inlineStr">
        <is>
          <t>一般ユーザーでログイン。TD-01に申込済み</t>
        </is>
      </c>
      <c r="F65" s="12" t="inlineStr">
        <is>
          <t>再度「申し込む」を押す</t>
        </is>
      </c>
      <c r="G65" s="12" t="inlineStr">
        <is>
          <t>「すでに申し込み済みです」が表示され、遷移しない</t>
        </is>
      </c>
      <c r="H65" s="12" t="inlineStr">
        <is>
          <t>applicationsの一般ユーザーの行は1件のまま</t>
        </is>
      </c>
      <c r="I65" s="12" t="inlineStr">
        <is>
          <t>【操作の前と後に実行し、結果が同じことを確認する】
SELECT * FROM applications ORDER BY id;</t>
        </is>
      </c>
      <c r="J65" s="12" t="inlineStr">
        <is>
          <t>E-B-003</t>
        </is>
      </c>
      <c r="K65" s="12" t="inlineStr">
        <is>
          <t>手動</t>
        </is>
      </c>
      <c r="L65" s="12" t="n"/>
      <c r="M65" s="12" t="inlineStr">
        <is>
          <t>OK</t>
        </is>
      </c>
      <c r="N65" s="23" t="n">
        <v>46308</v>
      </c>
      <c r="O65" s="12" t="inlineStr">
        <is>
          <t>佐々木</t>
        </is>
      </c>
      <c r="P65" s="12" t="n"/>
      <c r="Q65" s="15" t="inlineStr">
        <is>
          <t>45_テストエビデンス_画面結合.xlsx／SC-022</t>
        </is>
      </c>
      <c r="R65" s="12" t="n"/>
      <c r="S65" s="12" t="n"/>
      <c r="T65" s="12" t="n"/>
    </row>
    <row r="66" ht="13.5" customHeight="1">
      <c r="A66" s="12" t="inlineStr">
        <is>
          <t>IT-SC022-E03</t>
        </is>
      </c>
      <c r="B66" s="12" t="inlineStr">
        <is>
          <t>SC-022 イベント詳細・申込</t>
        </is>
      </c>
      <c r="C66" s="12" t="inlineStr">
        <is>
          <t>異常系</t>
        </is>
      </c>
      <c r="D66" s="12" t="inlineStr">
        <is>
          <t>コメントの本文が空だと投稿できない</t>
        </is>
      </c>
      <c r="E66" s="12" t="inlineStr">
        <is>
          <t>一般ユーザーでログイン、TD-01</t>
        </is>
      </c>
      <c r="F66" s="12" t="inlineStr">
        <is>
          <t>コメント欄を空のままにする</t>
        </is>
      </c>
      <c r="G66" s="12" t="inlineStr">
        <is>
          <t>「投稿」を押せない</t>
        </is>
      </c>
      <c r="H66" s="12" t="inlineStr">
        <is>
          <t>event_commentsは変更されない</t>
        </is>
      </c>
      <c r="I66" s="12" t="inlineStr">
        <is>
          <t>【操作の前と後に実行し、結果が同じことを確認する】
SELECT * FROM event_comments ORDER BY id;</t>
        </is>
      </c>
      <c r="J66" s="12" t="inlineStr">
        <is>
          <t>SC-022 項目㉑</t>
        </is>
      </c>
      <c r="K66" s="12" t="inlineStr">
        <is>
          <t>手動</t>
        </is>
      </c>
      <c r="L66" s="12" t="n"/>
      <c r="M66" s="12" t="inlineStr">
        <is>
          <t>OK</t>
        </is>
      </c>
      <c r="N66" s="23" t="n">
        <v>46308</v>
      </c>
      <c r="O66" s="12" t="inlineStr">
        <is>
          <t>佐々木</t>
        </is>
      </c>
      <c r="P66" s="12" t="n"/>
      <c r="Q66" s="15" t="inlineStr">
        <is>
          <t>45_テストエビデンス_画面結合.xlsx／SC-022</t>
        </is>
      </c>
      <c r="R66" s="12" t="n"/>
      <c r="S66" s="12" t="n"/>
      <c r="T66" s="12" t="n"/>
    </row>
    <row r="67" ht="27" customHeight="1">
      <c r="A67" s="12" t="inlineStr">
        <is>
          <t>IT-SC022-E04</t>
        </is>
      </c>
      <c r="B67" s="12" t="inlineStr">
        <is>
          <t>SC-022 イベント詳細・申込</t>
        </is>
      </c>
      <c r="C67" s="12" t="inlineStr">
        <is>
          <t>異常系</t>
        </is>
      </c>
      <c r="D67" s="12" t="inlineStr">
        <is>
          <t>一般利用者には、他人のコメントに「削除」が表示されない</t>
        </is>
      </c>
      <c r="E67" s="12" t="inlineStr">
        <is>
          <t>TD-05の利用者でログイン。一般ユーザーのコメントがある</t>
        </is>
      </c>
      <c r="F67" s="12" t="inlineStr">
        <is>
          <t>そのイベントのSC-022を開く</t>
        </is>
      </c>
      <c r="G67" s="12" t="inlineStr">
        <is>
          <t>一般ユーザーのコメントに「削除」が表示されない</t>
        </is>
      </c>
      <c r="H67" s="12" t="inlineStr">
        <is>
          <t>-（参照のみ）</t>
        </is>
      </c>
      <c r="I67" s="12" t="inlineStr">
        <is>
          <t>-</t>
        </is>
      </c>
      <c r="J67" s="12" t="inlineStr">
        <is>
          <t>SC-022 項目㉖</t>
        </is>
      </c>
      <c r="K67" s="12" t="inlineStr">
        <is>
          <t>手動</t>
        </is>
      </c>
      <c r="L67" s="12" t="n"/>
      <c r="M67" s="12" t="inlineStr">
        <is>
          <t>OK</t>
        </is>
      </c>
      <c r="N67" s="23" t="n">
        <v>46308</v>
      </c>
      <c r="O67" s="12" t="inlineStr">
        <is>
          <t>佐々木</t>
        </is>
      </c>
      <c r="P67" s="12" t="n"/>
      <c r="Q67" s="15" t="inlineStr">
        <is>
          <t>45_テストエビデンス_画面結合.xlsx／SC-022</t>
        </is>
      </c>
      <c r="R67" s="12" t="n"/>
      <c r="S67" s="12" t="n"/>
      <c r="T67" s="12" t="n"/>
    </row>
    <row r="68" ht="27" customHeight="1">
      <c r="A68" s="12" t="inlineStr">
        <is>
          <t>IT-SC022-E05</t>
        </is>
      </c>
      <c r="B68" s="12" t="inlineStr">
        <is>
          <t>SC-022 イベント詳細・申込</t>
        </is>
      </c>
      <c r="C68" s="12" t="inlineStr">
        <is>
          <t>異常系</t>
        </is>
      </c>
      <c r="D68" s="12" t="inlineStr">
        <is>
          <t>管理者には申込フォームが表示されない</t>
        </is>
      </c>
      <c r="E68" s="12" t="inlineStr">
        <is>
          <t>管理者でログイン</t>
        </is>
      </c>
      <c r="F68" s="12" t="inlineStr">
        <is>
          <t>URLを直接指定してTD-01のSC-022を開く</t>
        </is>
      </c>
      <c r="G68" s="12" t="inlineStr">
        <is>
          <t>申込フォームが表示されず、「管理者は申込できません」の旨が表示される</t>
        </is>
      </c>
      <c r="H68" s="12" t="inlineStr">
        <is>
          <t>-（参照のみ）</t>
        </is>
      </c>
      <c r="I68" s="12" t="inlineStr">
        <is>
          <t>-</t>
        </is>
      </c>
      <c r="J68" s="12" t="inlineStr">
        <is>
          <t>SC-022 項目⑱</t>
        </is>
      </c>
      <c r="K68" s="12" t="inlineStr">
        <is>
          <t>手動</t>
        </is>
      </c>
      <c r="L68" s="12" t="n"/>
      <c r="M68" s="12" t="inlineStr">
        <is>
          <t>OK</t>
        </is>
      </c>
      <c r="N68" s="23" t="n">
        <v>46308</v>
      </c>
      <c r="O68" s="12" t="inlineStr">
        <is>
          <t>佐々木</t>
        </is>
      </c>
      <c r="P68" s="12" t="n"/>
      <c r="Q68" s="15" t="inlineStr">
        <is>
          <t>45_テストエビデンス_画面結合.xlsx／SC-022</t>
        </is>
      </c>
      <c r="R68" s="12" t="n"/>
      <c r="S68" s="12" t="n"/>
      <c r="T68" s="12" t="n"/>
    </row>
    <row r="69" ht="13.5" customHeight="1">
      <c r="A69" s="12" t="inlineStr">
        <is>
          <t>IT-SC022-E06</t>
        </is>
      </c>
      <c r="B69" s="12" t="inlineStr">
        <is>
          <t>SC-022 イベント詳細・申込</t>
        </is>
      </c>
      <c r="C69" s="12" t="inlineStr">
        <is>
          <t>異常系</t>
        </is>
      </c>
      <c r="D69" s="12" t="inlineStr">
        <is>
          <t>存在しないイベントを開くとエラーが表示される</t>
        </is>
      </c>
      <c r="E69" s="12" t="inlineStr">
        <is>
          <t>一般ユーザーでログイン</t>
        </is>
      </c>
      <c r="F69" s="12" t="inlineStr">
        <is>
          <t>URL/events/99999を直接開く</t>
        </is>
      </c>
      <c r="G69" s="12" t="inlineStr">
        <is>
          <t>画面全体に「イベントが見つかりません」が表示される</t>
        </is>
      </c>
      <c r="H69" s="12" t="inlineStr">
        <is>
          <t>-（参照のみ）</t>
        </is>
      </c>
      <c r="I69" s="12" t="inlineStr">
        <is>
          <t>-</t>
        </is>
      </c>
      <c r="J69" s="12" t="inlineStr">
        <is>
          <t>SC-022 イベント処理1</t>
        </is>
      </c>
      <c r="K69" s="12" t="inlineStr">
        <is>
          <t>手動</t>
        </is>
      </c>
      <c r="L69" s="12" t="n"/>
      <c r="M69" s="12" t="inlineStr">
        <is>
          <t>OK</t>
        </is>
      </c>
      <c r="N69" s="23" t="n">
        <v>46308</v>
      </c>
      <c r="O69" s="12" t="inlineStr">
        <is>
          <t>佐々木</t>
        </is>
      </c>
      <c r="P69" s="12" t="n"/>
      <c r="Q69" s="15" t="inlineStr">
        <is>
          <t>45_テストエビデンス_画面結合.xlsx／SC-022</t>
        </is>
      </c>
      <c r="R69" s="12" t="n"/>
      <c r="S69" s="12" t="n"/>
      <c r="T69" s="12" t="n"/>
    </row>
    <row r="70" ht="27" customHeight="1">
      <c r="A70" s="12" t="inlineStr">
        <is>
          <t>IT-SC023-N01</t>
        </is>
      </c>
      <c r="B70" s="12" t="inlineStr">
        <is>
          <t>SC-023 申込完了</t>
        </is>
      </c>
      <c r="C70" s="12" t="inlineStr">
        <is>
          <t>正常系</t>
        </is>
      </c>
      <c r="D70" s="12" t="inlineStr">
        <is>
          <t>受付済の申込結果が表示される</t>
        </is>
      </c>
      <c r="E70" s="12" t="inlineStr">
        <is>
          <t>一般ユーザーでログイン、TD-02（申込なし）</t>
        </is>
      </c>
      <c r="F70" s="12" t="inlineStr">
        <is>
          <t>TD-02に申し込む</t>
        </is>
      </c>
      <c r="G70" s="12" t="inlineStr">
        <is>
          <t>ステータス「受付済」と申込日時が表示される。キャンセル待ちの補足説明は表示されない</t>
        </is>
      </c>
      <c r="H70" s="12" t="inlineStr">
        <is>
          <t>applications.status_code=1</t>
        </is>
      </c>
      <c r="I70" s="12" t="inlineStr">
        <is>
          <t>【操作の前と後に実行し、期待結果のとおりであることを確認する】
SELECT id, event_id, user_id, ticket_type_id, status_code, extra_answer, checked_in_at, updated_at FROM applications ORDER BY id;</t>
        </is>
      </c>
      <c r="J70" s="12" t="inlineStr">
        <is>
          <t>SC-023 項目①②</t>
        </is>
      </c>
      <c r="K70" s="12" t="inlineStr">
        <is>
          <t>手動</t>
        </is>
      </c>
      <c r="L70" s="12" t="n"/>
      <c r="M70" s="12" t="inlineStr">
        <is>
          <t>OK</t>
        </is>
      </c>
      <c r="N70" s="23" t="n">
        <v>46308</v>
      </c>
      <c r="O70" s="12" t="inlineStr">
        <is>
          <t>佐々木</t>
        </is>
      </c>
      <c r="P70" s="12" t="inlineStr">
        <is>
          <t>一般ユーザーはTD-02に申込済みのため、TD-05の利用者（一般ユーザー2）がTD-01に区分「学生」で申し込んで確認した（申込ID=4、受付済）。</t>
        </is>
      </c>
      <c r="Q70" s="15" t="inlineStr">
        <is>
          <t>45_テストエビデンス_画面結合.xlsx／SC-023</t>
        </is>
      </c>
      <c r="R70" s="12" t="n"/>
      <c r="S70" s="12" t="n"/>
      <c r="T70" s="12" t="n"/>
    </row>
    <row r="71" ht="27" customHeight="1">
      <c r="A71" s="12" t="inlineStr">
        <is>
          <t>IT-SC023-N02</t>
        </is>
      </c>
      <c r="B71" s="12" t="inlineStr">
        <is>
          <t>SC-023 申込完了</t>
        </is>
      </c>
      <c r="C71" s="12" t="inlineStr">
        <is>
          <t>正常系</t>
        </is>
      </c>
      <c r="D71" s="12" t="inlineStr">
        <is>
          <t>キャンセル待ちの申込結果と補足説明が表示される</t>
        </is>
      </c>
      <c r="E71" s="12" t="inlineStr">
        <is>
          <t>TD-02に他の利用者が受付済で申込済み。一般ユーザーでログイン</t>
        </is>
      </c>
      <c r="F71" s="12" t="inlineStr">
        <is>
          <t>TD-02に申し込む</t>
        </is>
      </c>
      <c r="G71" s="12" t="inlineStr">
        <is>
          <t>ステータス「キャンセル待ち」と、「満席のためキャンセル待ちとして登録されました。…」が表示される</t>
        </is>
      </c>
      <c r="H71" s="12" t="inlineStr">
        <is>
          <t>applications.status_code=2</t>
        </is>
      </c>
      <c r="I71" s="12" t="inlineStr">
        <is>
          <t>【操作の前と後に実行し、期待結果のとおりであることを確認する】
SELECT id, event_id, user_id, ticket_type_id, status_code, extra_answer, checked_in_at, updated_at FROM applications ORDER BY id;</t>
        </is>
      </c>
      <c r="J71" s="12" t="inlineStr">
        <is>
          <t>SC-023 項目③</t>
        </is>
      </c>
      <c r="K71" s="12" t="inlineStr">
        <is>
          <t>手動</t>
        </is>
      </c>
      <c r="L71" s="12" t="n"/>
      <c r="M71" s="12" t="inlineStr">
        <is>
          <t>OK</t>
        </is>
      </c>
      <c r="N71" s="23" t="n">
        <v>46308</v>
      </c>
      <c r="O71" s="12" t="inlineStr">
        <is>
          <t>佐々木</t>
        </is>
      </c>
      <c r="P71" s="12" t="inlineStr">
        <is>
          <t>一般ユーザーがTD-02に受付済で申込済みのため、TD-05の利用者（一般ユーザー2）がTD-02に申し込んで確認した（申込ID=5、キャンセル待ち）。</t>
        </is>
      </c>
      <c r="Q71" s="15" t="inlineStr">
        <is>
          <t>45_テストエビデンス_画面結合.xlsx／SC-023</t>
        </is>
      </c>
      <c r="R71" s="12" t="n"/>
      <c r="S71" s="12" t="n"/>
      <c r="T71" s="12" t="n"/>
    </row>
    <row r="72" ht="27" customHeight="1">
      <c r="A72" s="12" t="inlineStr">
        <is>
          <t>IT-SC023-N03</t>
        </is>
      </c>
      <c r="B72" s="12" t="inlineStr">
        <is>
          <t>SC-023 申込完了</t>
        </is>
      </c>
      <c r="C72" s="12" t="inlineStr">
        <is>
          <t>正常系</t>
        </is>
      </c>
      <c r="D72" s="12" t="inlineStr">
        <is>
          <t>申込直後に再読み込みしても、申込結果が表示される</t>
        </is>
      </c>
      <c r="E72" s="12" t="inlineStr">
        <is>
          <t>申込直後のSC-023</t>
        </is>
      </c>
      <c r="F72" s="12" t="inlineStr">
        <is>
          <t>ブラウザを再読み込みする</t>
        </is>
      </c>
      <c r="G72" s="12" t="inlineStr">
        <is>
          <t>同じ申込結果が引き続き表示される</t>
        </is>
      </c>
      <c r="H72" s="12" t="inlineStr">
        <is>
          <t>-（参照のみ）</t>
        </is>
      </c>
      <c r="I72" s="12" t="inlineStr">
        <is>
          <t>-</t>
        </is>
      </c>
      <c r="J72" s="12" t="inlineStr">
        <is>
          <t>SC-023 イベント処理1</t>
        </is>
      </c>
      <c r="K72" s="12" t="inlineStr">
        <is>
          <t>手動</t>
        </is>
      </c>
      <c r="L72" s="12" t="n"/>
      <c r="M72" s="12" t="inlineStr">
        <is>
          <t>OK</t>
        </is>
      </c>
      <c r="N72" s="23" t="n">
        <v>46308</v>
      </c>
      <c r="O72" s="12" t="inlineStr">
        <is>
          <t>佐々木</t>
        </is>
      </c>
      <c r="P72" s="12" t="n"/>
      <c r="Q72" s="15" t="inlineStr">
        <is>
          <t>45_テストエビデンス_画面結合.xlsx／SC-023</t>
        </is>
      </c>
      <c r="R72" s="12" t="n"/>
      <c r="S72" s="12" t="n"/>
      <c r="T72" s="12" t="n"/>
    </row>
    <row r="73" ht="13.5" customHeight="1">
      <c r="A73" s="12" t="inlineStr">
        <is>
          <t>IT-SC023-N04</t>
        </is>
      </c>
      <c r="B73" s="12" t="inlineStr">
        <is>
          <t>SC-023 申込完了</t>
        </is>
      </c>
      <c r="C73" s="12" t="inlineStr">
        <is>
          <t>正常系</t>
        </is>
      </c>
      <c r="D73" s="12" t="inlineStr">
        <is>
          <t>「イベント一覧へ」でイベント一覧に戻る</t>
        </is>
      </c>
      <c r="E73" s="12" t="inlineStr">
        <is>
          <t>申込直後のSC-023</t>
        </is>
      </c>
      <c r="F73" s="12" t="inlineStr">
        <is>
          <t>「イベント一覧へ」を押す</t>
        </is>
      </c>
      <c r="G73" s="12" t="inlineStr">
        <is>
          <t>SC-020へ遷移する</t>
        </is>
      </c>
      <c r="H73" s="12" t="inlineStr">
        <is>
          <t>-（参照のみ）</t>
        </is>
      </c>
      <c r="I73" s="12" t="inlineStr">
        <is>
          <t>-</t>
        </is>
      </c>
      <c r="J73" s="12" t="inlineStr">
        <is>
          <t>SC-023 イベント処理2</t>
        </is>
      </c>
      <c r="K73" s="12" t="inlineStr">
        <is>
          <t>手動</t>
        </is>
      </c>
      <c r="L73" s="12" t="n"/>
      <c r="M73" s="12" t="inlineStr">
        <is>
          <t>OK</t>
        </is>
      </c>
      <c r="N73" s="23" t="n">
        <v>46308</v>
      </c>
      <c r="O73" s="12" t="inlineStr">
        <is>
          <t>佐々木</t>
        </is>
      </c>
      <c r="P73" s="12" t="n"/>
      <c r="Q73" s="15" t="inlineStr">
        <is>
          <t>45_テストエビデンス_画面結合.xlsx／SC-023</t>
        </is>
      </c>
      <c r="R73" s="12" t="n"/>
      <c r="S73" s="12" t="n"/>
      <c r="T73" s="12" t="n"/>
    </row>
    <row r="74" ht="27" customHeight="1">
      <c r="A74" s="12" t="inlineStr">
        <is>
          <t>IT-SC023-E01</t>
        </is>
      </c>
      <c r="B74" s="12" t="inlineStr">
        <is>
          <t>SC-023 申込完了</t>
        </is>
      </c>
      <c r="C74" s="12" t="inlineStr">
        <is>
          <t>異常系</t>
        </is>
      </c>
      <c r="D74" s="12" t="inlineStr">
        <is>
          <t>URLを直接指定すると申込結果を表示できない</t>
        </is>
      </c>
      <c r="E74" s="12" t="inlineStr">
        <is>
          <t>一般ユーザーでログイン</t>
        </is>
      </c>
      <c r="F74" s="12" t="inlineStr">
        <is>
          <t>URL/events/{TD-02のID}/doneを直接開く</t>
        </is>
      </c>
      <c r="G74" s="12" t="inlineStr">
        <is>
          <t>「申込結果を表示できません。イベント一覧からやり直してください。」が表示される</t>
        </is>
      </c>
      <c r="H74" s="12" t="inlineStr">
        <is>
          <t>-（参照のみ）</t>
        </is>
      </c>
      <c r="I74" s="12" t="inlineStr">
        <is>
          <t>-</t>
        </is>
      </c>
      <c r="J74" s="12" t="inlineStr">
        <is>
          <t>SC-023 項目⑤</t>
        </is>
      </c>
      <c r="K74" s="12" t="inlineStr">
        <is>
          <t>手動</t>
        </is>
      </c>
      <c r="L74" s="12" t="n"/>
      <c r="M74" s="12" t="inlineStr">
        <is>
          <t>OK</t>
        </is>
      </c>
      <c r="N74" s="23" t="n">
        <v>46308</v>
      </c>
      <c r="O74" s="12" t="inlineStr">
        <is>
          <t>佐々木</t>
        </is>
      </c>
      <c r="P74" s="12" t="n"/>
      <c r="Q74" s="15" t="inlineStr">
        <is>
          <t>45_テストエビデンス_画面結合.xlsx／SC-023</t>
        </is>
      </c>
      <c r="R74" s="12" t="n"/>
      <c r="S74" s="12" t="n"/>
      <c r="T74" s="12" t="n"/>
    </row>
    <row r="75" ht="27" customHeight="1">
      <c r="A75" s="12" t="inlineStr">
        <is>
          <t>IT-SC030-N01</t>
        </is>
      </c>
      <c r="B75" s="12" t="inlineStr">
        <is>
          <t>SC-030 マイページ</t>
        </is>
      </c>
      <c r="C75" s="12" t="inlineStr">
        <is>
          <t>正常系</t>
        </is>
      </c>
      <c r="D75" s="12" t="inlineStr">
        <is>
          <t>自分の申込が一覧表示される</t>
        </is>
      </c>
      <c r="E75" s="12" t="inlineStr">
        <is>
          <t>一般ユーザーでログイン。受付済とキャンセル済の申込がある</t>
        </is>
      </c>
      <c r="F75" s="12" t="inlineStr">
        <is>
          <t>SC-030を開く</t>
        </is>
      </c>
      <c r="G75" s="12" t="inlineStr">
        <is>
          <t>イベント名・状況・開催日時・申込日時が表示される。キャンセル済の申込には「キャンセル」が表示されない</t>
        </is>
      </c>
      <c r="H75" s="12" t="inlineStr">
        <is>
          <t>-（参照のみ）</t>
        </is>
      </c>
      <c r="I75" s="12" t="inlineStr">
        <is>
          <t>-</t>
        </is>
      </c>
      <c r="J75" s="12" t="inlineStr">
        <is>
          <t>SC-030 項目④〜⑧</t>
        </is>
      </c>
      <c r="K75" s="12" t="inlineStr">
        <is>
          <t>手動</t>
        </is>
      </c>
      <c r="L75" s="12" t="n"/>
      <c r="M75" s="12" t="inlineStr">
        <is>
          <t>OK</t>
        </is>
      </c>
      <c r="N75" s="23" t="n">
        <v>46308</v>
      </c>
      <c r="O75" s="12" t="inlineStr">
        <is>
          <t>佐々木</t>
        </is>
      </c>
      <c r="P75" s="12" t="n"/>
      <c r="Q75" s="15" t="inlineStr">
        <is>
          <t>45_テストエビデンス_画面結合.xlsx／SC-030</t>
        </is>
      </c>
      <c r="R75" s="12" t="n"/>
      <c r="S75" s="12" t="n"/>
      <c r="T75" s="12" t="n"/>
    </row>
    <row r="76" ht="40.5" customHeight="1">
      <c r="A76" s="12" t="inlineStr">
        <is>
          <t>IT-SC030-N02</t>
        </is>
      </c>
      <c r="B76" s="12" t="inlineStr">
        <is>
          <t>SC-030 マイページ</t>
        </is>
      </c>
      <c r="C76" s="12" t="inlineStr">
        <is>
          <t>正常系</t>
        </is>
      </c>
      <c r="D76" s="12" t="inlineStr">
        <is>
          <t>キャンセル待ちの申込には順位が表示される</t>
        </is>
      </c>
      <c r="E76" s="12" t="inlineStr">
        <is>
          <t>TD-05の利用者でログイン。TD-02にキャンセル待ち1番目の申込がある</t>
        </is>
      </c>
      <c r="F76" s="12" t="inlineStr">
        <is>
          <t>SC-030を開く</t>
        </is>
      </c>
      <c r="G76" s="12" t="inlineStr">
        <is>
          <t>状況が「キャンセル待ち（1番目）」と表示される</t>
        </is>
      </c>
      <c r="H76" s="12" t="inlineStr">
        <is>
          <t>-（参照のみ）</t>
        </is>
      </c>
      <c r="I76" s="12" t="inlineStr">
        <is>
          <t>-</t>
        </is>
      </c>
      <c r="J76" s="12" t="inlineStr">
        <is>
          <t>SC-030 項目⑤</t>
        </is>
      </c>
      <c r="K76" s="12" t="inlineStr">
        <is>
          <t>手動</t>
        </is>
      </c>
      <c r="L76" s="12" t="n"/>
      <c r="M76" s="12" t="inlineStr">
        <is>
          <t>OK</t>
        </is>
      </c>
      <c r="N76" s="23" t="n">
        <v>46308</v>
      </c>
      <c r="O76" s="12" t="inlineStr">
        <is>
          <t>佐々木</t>
        </is>
      </c>
      <c r="P76" s="12" t="n"/>
      <c r="Q76" s="15" t="inlineStr">
        <is>
          <t>45_テストエビデンス_画面結合.xlsx／SC-030</t>
        </is>
      </c>
      <c r="R76" s="12" t="n"/>
      <c r="S76" s="12" t="n"/>
      <c r="T76" s="12" t="n"/>
    </row>
    <row r="77" ht="27" customHeight="1">
      <c r="A77" s="12" t="inlineStr">
        <is>
          <t>IT-SC030-N03</t>
        </is>
      </c>
      <c r="B77" s="12" t="inlineStr">
        <is>
          <t>SC-030 マイページ</t>
        </is>
      </c>
      <c r="C77" s="12" t="inlineStr">
        <is>
          <t>正常系</t>
        </is>
      </c>
      <c r="D77" s="12" t="inlineStr">
        <is>
          <t>申込をキャンセルできる</t>
        </is>
      </c>
      <c r="E77" s="12" t="inlineStr">
        <is>
          <t>一般ユーザーでログイン。TD-02に受付済の申込がある</t>
        </is>
      </c>
      <c r="F77" s="12" t="inlineStr">
        <is>
          <t>その申込の「キャンセル」を押し、確認でOKを押す</t>
        </is>
      </c>
      <c r="G77" s="12" t="inlineStr">
        <is>
          <t>状況が「キャンセル済」に変わり、「キャンセル」が消える</t>
        </is>
      </c>
      <c r="H77" s="12" t="inlineStr">
        <is>
          <t>該当のapplications.status_codeが9になる</t>
        </is>
      </c>
      <c r="I77" s="12" t="inlineStr">
        <is>
          <t>【操作の前と後に実行し、期待結果のとおりであることを確認する】
SELECT id, event_id, user_id, ticket_type_id, status_code, extra_answer, checked_in_at, updated_at FROM applications ORDER BY id;</t>
        </is>
      </c>
      <c r="J77" s="12" t="inlineStr">
        <is>
          <t>SC-030 イベント処理3</t>
        </is>
      </c>
      <c r="K77" s="12" t="inlineStr">
        <is>
          <t>手動</t>
        </is>
      </c>
      <c r="L77" s="12" t="n"/>
      <c r="M77" s="12" t="inlineStr">
        <is>
          <t>OK</t>
        </is>
      </c>
      <c r="N77" s="23" t="n">
        <v>46308</v>
      </c>
      <c r="O77" s="12" t="inlineStr">
        <is>
          <t>佐々木</t>
        </is>
      </c>
      <c r="P77" s="12" t="n"/>
      <c r="Q77" s="15" t="inlineStr">
        <is>
          <t>45_テストエビデンス_画面結合.xlsx／SC-030</t>
        </is>
      </c>
      <c r="R77" s="12" t="n"/>
      <c r="S77" s="12" t="n"/>
      <c r="T77" s="12" t="n"/>
    </row>
    <row r="78" ht="27" customHeight="1">
      <c r="A78" s="12" t="inlineStr">
        <is>
          <t>IT-SC030-N04</t>
        </is>
      </c>
      <c r="B78" s="12" t="inlineStr">
        <is>
          <t>SC-030 マイページ</t>
        </is>
      </c>
      <c r="C78" s="12" t="inlineStr">
        <is>
          <t>正常系</t>
        </is>
      </c>
      <c r="D78" s="12" t="inlineStr">
        <is>
          <t>キャンセルの確認で取り消すと、キャンセルされない</t>
        </is>
      </c>
      <c r="E78" s="12" t="inlineStr">
        <is>
          <t>一般ユーザーでログイン。TD-02に受付済の申込がある</t>
        </is>
      </c>
      <c r="F78" s="12" t="inlineStr">
        <is>
          <t>その申込の「キャンセル」を押し、確認で取り消す</t>
        </is>
      </c>
      <c r="G78" s="12" t="inlineStr">
        <is>
          <t>状況は「受付済」のまま変わらない</t>
        </is>
      </c>
      <c r="H78" s="12" t="inlineStr">
        <is>
          <t>該当のapplications.status_codeは1のまま</t>
        </is>
      </c>
      <c r="I78" s="12" t="inlineStr">
        <is>
          <t>【操作の前と後に実行し、結果が同じことを確認する】
SELECT * FROM applications ORDER BY id;</t>
        </is>
      </c>
      <c r="J78" s="12" t="inlineStr">
        <is>
          <t>SC-030 イベント処理3</t>
        </is>
      </c>
      <c r="K78" s="12" t="inlineStr">
        <is>
          <t>手動</t>
        </is>
      </c>
      <c r="L78" s="12" t="n"/>
      <c r="M78" s="12" t="inlineStr">
        <is>
          <t>OK</t>
        </is>
      </c>
      <c r="N78" s="23" t="n">
        <v>46308</v>
      </c>
      <c r="O78" s="12" t="inlineStr">
        <is>
          <t>佐々木</t>
        </is>
      </c>
      <c r="P78" s="12" t="n"/>
      <c r="Q78" s="15" t="inlineStr">
        <is>
          <t>45_テストエビデンス_画面結合.xlsx／SC-030</t>
        </is>
      </c>
      <c r="R78" s="12" t="n"/>
      <c r="S78" s="12" t="n"/>
      <c r="T78" s="12" t="n"/>
    </row>
    <row r="79" ht="27" customHeight="1">
      <c r="A79" s="12" t="inlineStr">
        <is>
          <t>IT-SC030-N05</t>
        </is>
      </c>
      <c r="B79" s="12" t="inlineStr">
        <is>
          <t>SC-030 マイページ</t>
        </is>
      </c>
      <c r="C79" s="12" t="inlineStr">
        <is>
          <t>正常系</t>
        </is>
      </c>
      <c r="D79" s="12" t="inlineStr">
        <is>
          <t>お気に入りタブに自分のお気に入りが表示される</t>
        </is>
      </c>
      <c r="E79" s="12" t="inlineStr">
        <is>
          <t>一般ユーザーでログイン。TD-01をお気に入り登録済み</t>
        </is>
      </c>
      <c r="F79" s="12" t="inlineStr">
        <is>
          <t>「お気に入り」タブを押す</t>
        </is>
      </c>
      <c r="G79" s="12" t="inlineStr">
        <is>
          <t>TD-01のイベント名・受付状況・開催日時・場所が表示される</t>
        </is>
      </c>
      <c r="H79" s="12" t="inlineStr">
        <is>
          <t>-（参照のみ）</t>
        </is>
      </c>
      <c r="I79" s="12" t="inlineStr">
        <is>
          <t>-</t>
        </is>
      </c>
      <c r="J79" s="12" t="inlineStr">
        <is>
          <t>SC-030 項目⑩〜⑬</t>
        </is>
      </c>
      <c r="K79" s="12" t="inlineStr">
        <is>
          <t>手動</t>
        </is>
      </c>
      <c r="L79" s="12" t="n"/>
      <c r="M79" s="12" t="inlineStr">
        <is>
          <t>OK</t>
        </is>
      </c>
      <c r="N79" s="23" t="n">
        <v>46308</v>
      </c>
      <c r="O79" s="12" t="inlineStr">
        <is>
          <t>佐々木</t>
        </is>
      </c>
      <c r="P79" s="12" t="n"/>
      <c r="Q79" s="15" t="inlineStr">
        <is>
          <t>45_テストエビデンス_画面結合.xlsx／SC-030</t>
        </is>
      </c>
      <c r="R79" s="12" t="n"/>
      <c r="S79" s="12" t="n"/>
      <c r="T79" s="12" t="n"/>
    </row>
    <row r="80" ht="27" customHeight="1">
      <c r="A80" s="12" t="inlineStr">
        <is>
          <t>IT-SC030-N06</t>
        </is>
      </c>
      <c r="B80" s="12" t="inlineStr">
        <is>
          <t>SC-030 マイページ</t>
        </is>
      </c>
      <c r="C80" s="12" t="inlineStr">
        <is>
          <t>正常系</t>
        </is>
      </c>
      <c r="D80" s="12" t="inlineStr">
        <is>
          <t>お気に入りを解除できる</t>
        </is>
      </c>
      <c r="E80" s="12" t="inlineStr">
        <is>
          <t>一般ユーザーでログイン。TD-01をお気に入り登録済み</t>
        </is>
      </c>
      <c r="F80" s="12" t="inlineStr">
        <is>
          <t>お気に入りタブで「お気に入り解除」を押す</t>
        </is>
      </c>
      <c r="G80" s="12" t="inlineStr">
        <is>
          <t>TD-01が一覧から消える。SC-020でもTD-01が「☆」になる</t>
        </is>
      </c>
      <c r="H80" s="12" t="inlineStr">
        <is>
          <t>favoritesの該当の行が削除される</t>
        </is>
      </c>
      <c r="I80" s="12" t="inlineStr">
        <is>
          <t>【操作の前と後に実行し、期待結果のとおりであることを確認する】
SELECT id, event_id, user_id, created_at FROM favorites ORDER BY id;</t>
        </is>
      </c>
      <c r="J80" s="12" t="inlineStr">
        <is>
          <t>SC-030 イベント処理4</t>
        </is>
      </c>
      <c r="K80" s="12" t="inlineStr">
        <is>
          <t>手動</t>
        </is>
      </c>
      <c r="L80" s="12" t="n"/>
      <c r="M80" s="12" t="inlineStr">
        <is>
          <t>OK</t>
        </is>
      </c>
      <c r="N80" s="23" t="n">
        <v>46308</v>
      </c>
      <c r="O80" s="12" t="inlineStr">
        <is>
          <t>佐々木</t>
        </is>
      </c>
      <c r="P80" s="12" t="n"/>
      <c r="Q80" s="15" t="inlineStr">
        <is>
          <t>45_テストエビデンス_画面結合.xlsx／SC-030</t>
        </is>
      </c>
      <c r="R80" s="12" t="n"/>
      <c r="S80" s="12" t="n"/>
      <c r="T80" s="12" t="n"/>
    </row>
    <row r="81" ht="40.5" customHeight="1">
      <c r="A81" s="12" t="inlineStr">
        <is>
          <t>IT-SC030-N07</t>
        </is>
      </c>
      <c r="B81" s="12" t="inlineStr">
        <is>
          <t>SC-030 マイページ</t>
        </is>
      </c>
      <c r="C81" s="12" t="inlineStr">
        <is>
          <t>正常系</t>
        </is>
      </c>
      <c r="D81" s="12" t="inlineStr">
        <is>
          <t>退会するとログイン画面に戻る</t>
        </is>
      </c>
      <c r="E81" s="12" t="inlineStr">
        <is>
          <t>TD-05の利用者でログイン</t>
        </is>
      </c>
      <c r="F81" s="12" t="inlineStr">
        <is>
          <t>「退会する」を押し、確認でOKを押す</t>
        </is>
      </c>
      <c r="G81" s="12" t="inlineStr">
        <is>
          <t>SC-010へ遷移する</t>
        </is>
      </c>
      <c r="H81" s="12" t="inlineStr">
        <is>
          <t>TD-05の利用者のusers.nameが「退会済み利用者」、password_hashがNULL、anonymized_atに日時が入る</t>
        </is>
      </c>
      <c r="I81" s="12" t="inlineStr">
        <is>
          <t>【操作の前と後に実行し、期待結果のとおりであることを確認する】
SELECT id, name, email, role_code, password_hash, anonymized_at, updated_at FROM users ORDER BY id;</t>
        </is>
      </c>
      <c r="J81" s="12" t="inlineStr">
        <is>
          <t>SC-030 イベント処理5</t>
        </is>
      </c>
      <c r="K81" s="12" t="inlineStr">
        <is>
          <t>手動</t>
        </is>
      </c>
      <c r="L81" s="12" t="n"/>
      <c r="M81" s="12" t="inlineStr">
        <is>
          <t>OK</t>
        </is>
      </c>
      <c r="N81" s="23" t="n">
        <v>46309</v>
      </c>
      <c r="O81" s="12" t="inlineStr">
        <is>
          <t>佐々木</t>
        </is>
      </c>
      <c r="P81" s="12" t="n"/>
      <c r="Q81" s="15" t="inlineStr">
        <is>
          <t>45_テストエビデンス_画面結合.xlsx／SC-030</t>
        </is>
      </c>
      <c r="R81" s="12" t="n"/>
      <c r="S81" s="12" t="n"/>
      <c r="T81" s="12" t="n"/>
    </row>
    <row r="82" ht="27" customHeight="1">
      <c r="A82" s="12" t="inlineStr">
        <is>
          <t>IT-SC030-E01</t>
        </is>
      </c>
      <c r="B82" s="12" t="inlineStr">
        <is>
          <t>SC-030 マイページ</t>
        </is>
      </c>
      <c r="C82" s="12" t="inlineStr">
        <is>
          <t>異常系</t>
        </is>
      </c>
      <c r="D82" s="12" t="inlineStr">
        <is>
          <t>開催日時を過ぎた申込はキャンセルできない</t>
        </is>
      </c>
      <c r="E82" s="12" t="inlineStr">
        <is>
          <t>一般ユーザーでログイン、TD-04</t>
        </is>
      </c>
      <c r="F82" s="12" t="inlineStr">
        <is>
          <t>「開催済テスト」の申込の「キャンセル」を押し、確認でOKを押す</t>
        </is>
      </c>
      <c r="G82" s="12" t="inlineStr">
        <is>
          <t>「取消できません」が通知される</t>
        </is>
      </c>
      <c r="H82" s="12" t="inlineStr">
        <is>
          <t>該当のapplications.status_codeは1のまま</t>
        </is>
      </c>
      <c r="I82" s="12" t="inlineStr">
        <is>
          <t>【操作の前と後に実行し、結果が同じことを確認する】
SELECT * FROM applications ORDER BY id;</t>
        </is>
      </c>
      <c r="J82" s="12" t="inlineStr">
        <is>
          <t>E-B-010</t>
        </is>
      </c>
      <c r="K82" s="12" t="inlineStr">
        <is>
          <t>手動</t>
        </is>
      </c>
      <c r="L82" s="12" t="n"/>
      <c r="M82" s="12" t="inlineStr">
        <is>
          <t>OK</t>
        </is>
      </c>
      <c r="N82" s="23" t="n">
        <v>46308</v>
      </c>
      <c r="O82" s="12" t="inlineStr">
        <is>
          <t>佐々木</t>
        </is>
      </c>
      <c r="P82" s="12" t="n"/>
      <c r="Q82" s="15" t="inlineStr">
        <is>
          <t>45_テストエビデンス_画面結合.xlsx／SC-030</t>
        </is>
      </c>
      <c r="R82" s="12" t="n"/>
      <c r="S82" s="12" t="n"/>
      <c r="T82" s="12" t="n"/>
    </row>
    <row r="83" ht="40.5" customHeight="1">
      <c r="A83" s="12" t="inlineStr">
        <is>
          <t>IT-SC110-N01</t>
        </is>
      </c>
      <c r="B83" s="12" t="inlineStr">
        <is>
          <t>SC-110 管理者ダッシュボード</t>
        </is>
      </c>
      <c r="C83" s="12" t="inlineStr">
        <is>
          <t>正常系</t>
        </is>
      </c>
      <c r="D83" s="12" t="inlineStr">
        <is>
          <t>総イベント数がデータベースの件数と一致する</t>
        </is>
      </c>
      <c r="E83" s="12" t="inlineStr">
        <is>
          <t>管理者でログイン</t>
        </is>
      </c>
      <c r="F83" s="12" t="inlineStr">
        <is>
          <t>SC-110を開く</t>
        </is>
      </c>
      <c r="G83" s="12" t="inlineStr">
        <is>
          <t>総イベント数が、SELECT COUNT(*) FROM events WHERE deleted_at IS NULLの結果と一致する</t>
        </is>
      </c>
      <c r="H83" s="12" t="inlineStr">
        <is>
          <t>-（参照のみ）</t>
        </is>
      </c>
      <c r="I83" s="12" t="inlineStr">
        <is>
          <t>-</t>
        </is>
      </c>
      <c r="J83" s="12" t="inlineStr">
        <is>
          <t>SC-110 項目①</t>
        </is>
      </c>
      <c r="K83" s="12" t="inlineStr">
        <is>
          <t>手動</t>
        </is>
      </c>
      <c r="L83" s="12" t="n"/>
      <c r="M83" s="12" t="inlineStr">
        <is>
          <t>OK</t>
        </is>
      </c>
      <c r="N83" s="23" t="n">
        <v>46308</v>
      </c>
      <c r="O83" s="12" t="inlineStr">
        <is>
          <t>佐々木</t>
        </is>
      </c>
      <c r="P83" s="12" t="n"/>
      <c r="Q83" s="15" t="inlineStr">
        <is>
          <t>45_テストエビデンス_画面結合.xlsx／SC-110</t>
        </is>
      </c>
      <c r="R83" s="12" t="n"/>
      <c r="S83" s="12" t="n"/>
      <c r="T83" s="12" t="n"/>
    </row>
    <row r="84" ht="27" customHeight="1">
      <c r="A84" s="12" t="inlineStr">
        <is>
          <t>IT-SC110-N02</t>
        </is>
      </c>
      <c r="B84" s="12" t="inlineStr">
        <is>
          <t>SC-110 管理者ダッシュボード</t>
        </is>
      </c>
      <c r="C84" s="12" t="inlineStr">
        <is>
          <t>正常系</t>
        </is>
      </c>
      <c r="D84" s="12" t="inlineStr">
        <is>
          <t>総ユーザー数がデータベースの件数と一致する</t>
        </is>
      </c>
      <c r="E84" s="12" t="inlineStr">
        <is>
          <t>管理者でログイン</t>
        </is>
      </c>
      <c r="F84" s="12" t="inlineStr">
        <is>
          <t>SC-110を開く</t>
        </is>
      </c>
      <c r="G84" s="12" t="inlineStr">
        <is>
          <t>総ユーザー数が、SELECT COUNT(*) FROM usersの結果と一致する</t>
        </is>
      </c>
      <c r="H84" s="12" t="inlineStr">
        <is>
          <t>-（参照のみ）</t>
        </is>
      </c>
      <c r="I84" s="12" t="inlineStr">
        <is>
          <t>-</t>
        </is>
      </c>
      <c r="J84" s="12" t="inlineStr">
        <is>
          <t>SC-110 項目②</t>
        </is>
      </c>
      <c r="K84" s="12" t="inlineStr">
        <is>
          <t>手動</t>
        </is>
      </c>
      <c r="L84" s="12" t="n"/>
      <c r="M84" s="12" t="inlineStr">
        <is>
          <t>OK</t>
        </is>
      </c>
      <c r="N84" s="23" t="n">
        <v>46308</v>
      </c>
      <c r="O84" s="12" t="inlineStr">
        <is>
          <t>佐々木</t>
        </is>
      </c>
      <c r="P84" s="12" t="n"/>
      <c r="Q84" s="15" t="inlineStr">
        <is>
          <t>45_テストエビデンス_画面結合.xlsx／SC-110</t>
        </is>
      </c>
      <c r="R84" s="12" t="n"/>
      <c r="S84" s="12" t="n"/>
      <c r="T84" s="12" t="n"/>
    </row>
    <row r="85" ht="54" customHeight="1">
      <c r="A85" s="12" t="inlineStr">
        <is>
          <t>IT-SC110-N03</t>
        </is>
      </c>
      <c r="B85" s="12" t="inlineStr">
        <is>
          <t>SC-110 管理者ダッシュボード</t>
        </is>
      </c>
      <c r="C85" s="12" t="inlineStr">
        <is>
          <t>正常系</t>
        </is>
      </c>
      <c r="D85" s="12" t="inlineStr">
        <is>
          <t>受付済の申込数がデータベースの件数と一致する</t>
        </is>
      </c>
      <c r="E85" s="12" t="inlineStr">
        <is>
          <t>管理者でログイン</t>
        </is>
      </c>
      <c r="F85" s="12" t="inlineStr">
        <is>
          <t>SC-110を開く</t>
        </is>
      </c>
      <c r="G85" s="12" t="inlineStr">
        <is>
          <t>受付済の申込数が、SELECT COUNT(*) FROM applications a JOIN events e ON e.id = a.event_id WHERE a.status_code = 1 AND e.deleted_at IS NULLの結果と一致する</t>
        </is>
      </c>
      <c r="H85" s="12" t="inlineStr">
        <is>
          <t>-（参照のみ）</t>
        </is>
      </c>
      <c r="I85" s="12" t="inlineStr">
        <is>
          <t>-</t>
        </is>
      </c>
      <c r="J85" s="12" t="inlineStr">
        <is>
          <t>SC-110 項目③</t>
        </is>
      </c>
      <c r="K85" s="12" t="inlineStr">
        <is>
          <t>手動</t>
        </is>
      </c>
      <c r="L85" s="12" t="n"/>
      <c r="M85" s="12" t="inlineStr">
        <is>
          <t>OK</t>
        </is>
      </c>
      <c r="N85" s="23" t="n">
        <v>46308</v>
      </c>
      <c r="O85" s="12" t="inlineStr">
        <is>
          <t>佐々木</t>
        </is>
      </c>
      <c r="P85" s="12" t="n"/>
      <c r="Q85" s="15" t="inlineStr">
        <is>
          <t>45_テストエビデンス_画面結合.xlsx／SC-110</t>
        </is>
      </c>
      <c r="R85" s="12" t="n"/>
      <c r="S85" s="12" t="n"/>
      <c r="T85" s="12" t="n"/>
    </row>
    <row r="86" ht="27" customHeight="1">
      <c r="A86" s="12" t="inlineStr">
        <is>
          <t>IT-SC110-N04</t>
        </is>
      </c>
      <c r="B86" s="12" t="inlineStr">
        <is>
          <t>SC-110 管理者ダッシュボード</t>
        </is>
      </c>
      <c r="C86" s="12" t="inlineStr">
        <is>
          <t>正常系</t>
        </is>
      </c>
      <c r="D86" s="12" t="inlineStr">
        <is>
          <t>総お気に入り数がデータベースの件数と一致する</t>
        </is>
      </c>
      <c r="E86" s="12" t="inlineStr">
        <is>
          <t>管理者でログイン</t>
        </is>
      </c>
      <c r="F86" s="12" t="inlineStr">
        <is>
          <t>SC-110を開く</t>
        </is>
      </c>
      <c r="G86" s="12" t="inlineStr">
        <is>
          <t>総お気に入り数が、SELECT COUNT(*) FROM favoritesの結果と一致する</t>
        </is>
      </c>
      <c r="H86" s="12" t="inlineStr">
        <is>
          <t>-（参照のみ）</t>
        </is>
      </c>
      <c r="I86" s="12" t="inlineStr">
        <is>
          <t>-</t>
        </is>
      </c>
      <c r="J86" s="12" t="inlineStr">
        <is>
          <t>SC-110 項目④</t>
        </is>
      </c>
      <c r="K86" s="12" t="inlineStr">
        <is>
          <t>手動</t>
        </is>
      </c>
      <c r="L86" s="12" t="n"/>
      <c r="M86" s="12" t="inlineStr">
        <is>
          <t>OK</t>
        </is>
      </c>
      <c r="N86" s="23" t="n">
        <v>46308</v>
      </c>
      <c r="O86" s="12" t="inlineStr">
        <is>
          <t>佐々木</t>
        </is>
      </c>
      <c r="P86" s="12" t="n"/>
      <c r="Q86" s="15" t="inlineStr">
        <is>
          <t>45_テストエビデンス_画面結合.xlsx／SC-110</t>
        </is>
      </c>
      <c r="R86" s="12" t="n"/>
      <c r="S86" s="12" t="n"/>
      <c r="T86" s="12" t="n"/>
    </row>
    <row r="87" ht="40.5" customHeight="1">
      <c r="A87" s="12" t="inlineStr">
        <is>
          <t>IT-SC110-N05</t>
        </is>
      </c>
      <c r="B87" s="12" t="inlineStr">
        <is>
          <t>SC-110 管理者ダッシュボード</t>
        </is>
      </c>
      <c r="C87" s="12" t="inlineStr">
        <is>
          <t>正常系</t>
        </is>
      </c>
      <c r="D87" s="12" t="inlineStr">
        <is>
          <t>総コメント数がデータベースの件数と一致する</t>
        </is>
      </c>
      <c r="E87" s="12" t="inlineStr">
        <is>
          <t>管理者でログイン</t>
        </is>
      </c>
      <c r="F87" s="12" t="inlineStr">
        <is>
          <t>SC-110を開く</t>
        </is>
      </c>
      <c r="G87" s="12" t="inlineStr">
        <is>
          <t>総コメント数が、SELECT COUNT(*) FROM event_comments WHERE deleted_at IS NULLの結果と一致する</t>
        </is>
      </c>
      <c r="H87" s="12" t="inlineStr">
        <is>
          <t>-（参照のみ）</t>
        </is>
      </c>
      <c r="I87" s="12" t="inlineStr">
        <is>
          <t>-</t>
        </is>
      </c>
      <c r="J87" s="12" t="inlineStr">
        <is>
          <t>SC-110 項目⑤</t>
        </is>
      </c>
      <c r="K87" s="12" t="inlineStr">
        <is>
          <t>手動</t>
        </is>
      </c>
      <c r="L87" s="12" t="n"/>
      <c r="M87" s="12" t="inlineStr">
        <is>
          <t>OK</t>
        </is>
      </c>
      <c r="N87" s="23" t="n">
        <v>46308</v>
      </c>
      <c r="O87" s="12" t="inlineStr">
        <is>
          <t>佐々木</t>
        </is>
      </c>
      <c r="P87" s="12" t="n"/>
      <c r="Q87" s="15" t="inlineStr">
        <is>
          <t>45_テストエビデンス_画面結合.xlsx／SC-110</t>
        </is>
      </c>
      <c r="R87" s="12" t="n"/>
      <c r="S87" s="12" t="n"/>
      <c r="T87" s="12" t="n"/>
    </row>
    <row r="88" ht="27" customHeight="1">
      <c r="A88" s="12" t="inlineStr">
        <is>
          <t>IT-SC120-N01</t>
        </is>
      </c>
      <c r="B88" s="12" t="inlineStr">
        <is>
          <t>SC-120 イベント管理</t>
        </is>
      </c>
      <c r="C88" s="12" t="inlineStr">
        <is>
          <t>正常系</t>
        </is>
      </c>
      <c r="D88" s="12" t="inlineStr">
        <is>
          <t>イベントが一覧表示される</t>
        </is>
      </c>
      <c r="E88" s="12" t="inlineStr">
        <is>
          <t>管理者でログイン</t>
        </is>
      </c>
      <c r="F88" s="12" t="inlineStr">
        <is>
          <t>SC-120を開く</t>
        </is>
      </c>
      <c r="G88" s="12" t="inlineStr">
        <is>
          <t>各行にイベント名・受付状況・開催日時・場所・申込状況と、「受付」「複製」「削除」が表示される</t>
        </is>
      </c>
      <c r="H88" s="12" t="inlineStr">
        <is>
          <t>-（参照のみ）</t>
        </is>
      </c>
      <c r="I88" s="12" t="inlineStr">
        <is>
          <t>-</t>
        </is>
      </c>
      <c r="J88" s="12" t="inlineStr">
        <is>
          <t>SC-120 項目③〜⑩</t>
        </is>
      </c>
      <c r="K88" s="12" t="inlineStr">
        <is>
          <t>手動</t>
        </is>
      </c>
      <c r="L88" s="12" t="n"/>
      <c r="M88" s="12" t="inlineStr">
        <is>
          <t>OK</t>
        </is>
      </c>
      <c r="N88" s="23" t="n">
        <v>46308</v>
      </c>
      <c r="O88" s="12" t="inlineStr">
        <is>
          <t>佐々木</t>
        </is>
      </c>
      <c r="P88" s="12" t="n"/>
      <c r="Q88" s="15" t="inlineStr">
        <is>
          <t>45_テストエビデンス_画面結合.xlsx／SC-120</t>
        </is>
      </c>
      <c r="R88" s="12" t="n"/>
      <c r="S88" s="12" t="n"/>
      <c r="T88" s="12" t="n"/>
    </row>
    <row r="89" ht="27" customHeight="1">
      <c r="A89" s="12" t="inlineStr">
        <is>
          <t>IT-SC120-N02</t>
        </is>
      </c>
      <c r="B89" s="12" t="inlineStr">
        <is>
          <t>SC-120 イベント管理</t>
        </is>
      </c>
      <c r="C89" s="12" t="inlineStr">
        <is>
          <t>正常系</t>
        </is>
      </c>
      <c r="D89" s="12" t="inlineStr">
        <is>
          <t>申込の無いイベントを削除できる</t>
        </is>
      </c>
      <c r="E89" s="12" t="inlineStr">
        <is>
          <t>管理者でログイン、TD-03</t>
        </is>
      </c>
      <c r="F89" s="12" t="inlineStr">
        <is>
          <t>TD-03の「削除」を押し、確認でOKを押す</t>
        </is>
      </c>
      <c r="G89" s="12" t="inlineStr">
        <is>
          <t>TD-03が一覧から消える</t>
        </is>
      </c>
      <c r="H89" s="12" t="inlineStr">
        <is>
          <t>TD-03のevents.deleted_atに日時が入る（行は残る）</t>
        </is>
      </c>
      <c r="I89" s="12" t="inlineStr">
        <is>
          <t>【操作の前と後に実行し、期待結果のとおりであることを確認する】
SELECT id, name, start_at, place, capacity, application_deadline, deleted_at, updated_at FROM events ORDER BY id;</t>
        </is>
      </c>
      <c r="J89" s="12" t="inlineStr">
        <is>
          <t>SC-120 イベント処理5</t>
        </is>
      </c>
      <c r="K89" s="12" t="inlineStr">
        <is>
          <t>手動</t>
        </is>
      </c>
      <c r="L89" s="12" t="n"/>
      <c r="M89" s="12" t="inlineStr">
        <is>
          <t>OK</t>
        </is>
      </c>
      <c r="N89" s="23" t="n">
        <v>46308</v>
      </c>
      <c r="O89" s="12" t="inlineStr">
        <is>
          <t>佐々木</t>
        </is>
      </c>
      <c r="P89" s="12" t="n"/>
      <c r="Q89" s="15" t="inlineStr">
        <is>
          <t>45_テストエビデンス_画面結合.xlsx／SC-120</t>
        </is>
      </c>
      <c r="R89" s="12" t="n"/>
      <c r="S89" s="12" t="n"/>
      <c r="T89" s="12" t="n"/>
    </row>
    <row r="90" ht="27" customHeight="1">
      <c r="A90" s="12" t="inlineStr">
        <is>
          <t>IT-SC120-N03</t>
        </is>
      </c>
      <c r="B90" s="12" t="inlineStr">
        <is>
          <t>SC-120 イベント管理</t>
        </is>
      </c>
      <c r="C90" s="12" t="inlineStr">
        <is>
          <t>正常系</t>
        </is>
      </c>
      <c r="D90" s="12" t="inlineStr">
        <is>
          <t>イベントを複製して新規登録を始められる</t>
        </is>
      </c>
      <c r="E90" s="12" t="inlineStr">
        <is>
          <t>管理者でログイン、TD-01</t>
        </is>
      </c>
      <c r="F90" s="12" t="inlineStr">
        <is>
          <t>TD-01の「複製」を押す</t>
        </is>
      </c>
      <c r="G90" s="12" t="inlineStr">
        <is>
          <t>SC-121（新規登録）へ遷移し、開催日時・申込締切以外の項目にTD-01の内容が入力されている</t>
        </is>
      </c>
      <c r="H90" s="12" t="inlineStr">
        <is>
          <t>eventsは変更されない（保存するまで登録されない）</t>
        </is>
      </c>
      <c r="I90" s="12" t="inlineStr">
        <is>
          <t>【操作の前と後に実行し、結果が同じことを確認する】
SELECT * FROM events ORDER BY id;</t>
        </is>
      </c>
      <c r="J90" s="12" t="inlineStr">
        <is>
          <t>SC-120 イベント処理4</t>
        </is>
      </c>
      <c r="K90" s="12" t="inlineStr">
        <is>
          <t>手動</t>
        </is>
      </c>
      <c r="L90" s="12" t="n"/>
      <c r="M90" s="12" t="inlineStr">
        <is>
          <t>OK</t>
        </is>
      </c>
      <c r="N90" s="23" t="n">
        <v>46308</v>
      </c>
      <c r="O90" s="12" t="inlineStr">
        <is>
          <t>佐々木</t>
        </is>
      </c>
      <c r="P90" s="12" t="n"/>
      <c r="Q90" s="15" t="inlineStr">
        <is>
          <t>45_テストエビデンス_画面結合.xlsx／SC-120</t>
        </is>
      </c>
      <c r="R90" s="12" t="n"/>
      <c r="S90" s="12" t="n"/>
      <c r="T90" s="12" t="n"/>
    </row>
    <row r="91" ht="13.5" customHeight="1">
      <c r="A91" s="12" t="inlineStr">
        <is>
          <t>IT-SC120-N04</t>
        </is>
      </c>
      <c r="B91" s="12" t="inlineStr">
        <is>
          <t>SC-120 イベント管理</t>
        </is>
      </c>
      <c r="C91" s="12" t="inlineStr">
        <is>
          <t>正常系</t>
        </is>
      </c>
      <c r="D91" s="12" t="inlineStr">
        <is>
          <t>「受付」から当日受付へ遷移する</t>
        </is>
      </c>
      <c r="E91" s="12" t="inlineStr">
        <is>
          <t>管理者でログイン、TD-02</t>
        </is>
      </c>
      <c r="F91" s="12" t="inlineStr">
        <is>
          <t>TD-02の「受付」を押す</t>
        </is>
      </c>
      <c r="G91" s="12" t="inlineStr">
        <is>
          <t>TD-02のSC-123へ遷移する</t>
        </is>
      </c>
      <c r="H91" s="12" t="inlineStr">
        <is>
          <t>-（参照のみ）</t>
        </is>
      </c>
      <c r="I91" s="12" t="inlineStr">
        <is>
          <t>-</t>
        </is>
      </c>
      <c r="J91" s="12" t="inlineStr">
        <is>
          <t>SC-120 項目⑧</t>
        </is>
      </c>
      <c r="K91" s="12" t="inlineStr">
        <is>
          <t>手動</t>
        </is>
      </c>
      <c r="L91" s="12" t="n"/>
      <c r="M91" s="12" t="inlineStr">
        <is>
          <t>OK</t>
        </is>
      </c>
      <c r="N91" s="23" t="n">
        <v>46308</v>
      </c>
      <c r="O91" s="12" t="inlineStr">
        <is>
          <t>佐々木</t>
        </is>
      </c>
      <c r="P91" s="12" t="n"/>
      <c r="Q91" s="15" t="inlineStr">
        <is>
          <t>45_テストエビデンス_画面結合.xlsx／SC-120</t>
        </is>
      </c>
      <c r="R91" s="12" t="n"/>
      <c r="S91" s="12" t="n"/>
      <c r="T91" s="12" t="n"/>
    </row>
    <row r="92" ht="13.5" customHeight="1">
      <c r="A92" s="12" t="inlineStr">
        <is>
          <t>IT-SC120-N05</t>
        </is>
      </c>
      <c r="B92" s="12" t="inlineStr">
        <is>
          <t>SC-120 イベント管理</t>
        </is>
      </c>
      <c r="C92" s="12" t="inlineStr">
        <is>
          <t>正常系</t>
        </is>
      </c>
      <c r="D92" s="12" t="inlineStr">
        <is>
          <t>「新規登録」からイベント登録へ遷移する</t>
        </is>
      </c>
      <c r="E92" s="12" t="inlineStr">
        <is>
          <t>管理者でログイン</t>
        </is>
      </c>
      <c r="F92" s="12" t="inlineStr">
        <is>
          <t>「＋ 新規登録」を押す</t>
        </is>
      </c>
      <c r="G92" s="12" t="inlineStr">
        <is>
          <t>SC-121（新規登録）へ遷移する</t>
        </is>
      </c>
      <c r="H92" s="12" t="inlineStr">
        <is>
          <t>-（参照のみ）</t>
        </is>
      </c>
      <c r="I92" s="12" t="inlineStr">
        <is>
          <t>-</t>
        </is>
      </c>
      <c r="J92" s="12" t="inlineStr">
        <is>
          <t>SC-120 イベント処理2</t>
        </is>
      </c>
      <c r="K92" s="12" t="inlineStr">
        <is>
          <t>手動</t>
        </is>
      </c>
      <c r="L92" s="12" t="n"/>
      <c r="M92" s="12" t="inlineStr">
        <is>
          <t>OK</t>
        </is>
      </c>
      <c r="N92" s="23" t="n">
        <v>46308</v>
      </c>
      <c r="O92" s="12" t="inlineStr">
        <is>
          <t>佐々木</t>
        </is>
      </c>
      <c r="P92" s="12" t="n"/>
      <c r="Q92" s="15" t="inlineStr">
        <is>
          <t>45_テストエビデンス_画面結合.xlsx／SC-120</t>
        </is>
      </c>
      <c r="R92" s="12" t="n"/>
      <c r="S92" s="12" t="n"/>
      <c r="T92" s="12" t="n"/>
    </row>
    <row r="93" ht="27" customHeight="1">
      <c r="A93" s="12" t="inlineStr">
        <is>
          <t>IT-SC120-E01</t>
        </is>
      </c>
      <c r="B93" s="12" t="inlineStr">
        <is>
          <t>SC-120 イベント管理</t>
        </is>
      </c>
      <c r="C93" s="12" t="inlineStr">
        <is>
          <t>異常系</t>
        </is>
      </c>
      <c r="D93" s="12" t="inlineStr">
        <is>
          <t>受付済の申込があるイベントは削除できない</t>
        </is>
      </c>
      <c r="E93" s="12" t="inlineStr">
        <is>
          <t>管理者でログイン。TD-02に受付済の申込がある</t>
        </is>
      </c>
      <c r="F93" s="12" t="inlineStr">
        <is>
          <t>TD-02の「削除」を押し、確認でOKを押す</t>
        </is>
      </c>
      <c r="G93" s="12" t="inlineStr">
        <is>
          <t>「申込があるため削除できません」が通知され、TD-02は一覧に残る</t>
        </is>
      </c>
      <c r="H93" s="12" t="inlineStr">
        <is>
          <t>TD-02のevents.deleted_atはNULLのまま</t>
        </is>
      </c>
      <c r="I93" s="12" t="inlineStr">
        <is>
          <t>【操作の前と後に実行し、結果が同じことを確認する】
SELECT * FROM events ORDER BY id;</t>
        </is>
      </c>
      <c r="J93" s="12" t="inlineStr">
        <is>
          <t>E-B-013</t>
        </is>
      </c>
      <c r="K93" s="12" t="inlineStr">
        <is>
          <t>手動</t>
        </is>
      </c>
      <c r="L93" s="12" t="n"/>
      <c r="M93" s="12" t="inlineStr">
        <is>
          <t>OK</t>
        </is>
      </c>
      <c r="N93" s="23" t="n">
        <v>46308</v>
      </c>
      <c r="O93" s="12" t="inlineStr">
        <is>
          <t>佐々木</t>
        </is>
      </c>
      <c r="P93" s="12" t="n"/>
      <c r="Q93" s="15" t="inlineStr">
        <is>
          <t>45_テストエビデンス_画面結合.xlsx／SC-120</t>
        </is>
      </c>
      <c r="R93" s="12" t="n"/>
      <c r="S93" s="12" t="n"/>
      <c r="T93" s="12" t="n"/>
    </row>
    <row r="94" ht="27" customHeight="1">
      <c r="A94" s="12" t="inlineStr">
        <is>
          <t>IT-SC121-N01</t>
        </is>
      </c>
      <c r="B94" s="12" t="inlineStr">
        <is>
          <t>SC-121 イベント登録・編集</t>
        </is>
      </c>
      <c r="C94" s="12" t="inlineStr">
        <is>
          <t>正常系</t>
        </is>
      </c>
      <c r="D94" s="12" t="inlineStr">
        <is>
          <t>イベントを新規登録できる</t>
        </is>
      </c>
      <c r="E94" s="12" t="inlineStr">
        <is>
          <t>管理者でログイン</t>
        </is>
      </c>
      <c r="F94" s="12" t="inlineStr">
        <is>
          <t>必須項目と定員を入力し「保存」を押す</t>
        </is>
      </c>
      <c r="G94" s="12" t="inlineStr">
        <is>
          <t>SC-120へ遷移し、登録したイベントが一覧に表示される</t>
        </is>
      </c>
      <c r="H94" s="12" t="inlineStr">
        <is>
          <t>eventsに1行追加される</t>
        </is>
      </c>
      <c r="I94" s="12" t="inlineStr">
        <is>
          <t>【操作の前と後に実行し、期待結果のとおりであることを確認する】
SELECT id, name, start_at, place, capacity, application_deadline, deleted_at, updated_at FROM events ORDER BY id;</t>
        </is>
      </c>
      <c r="J94" s="12" t="inlineStr">
        <is>
          <t>SC-121 イベント処理5</t>
        </is>
      </c>
      <c r="K94" s="12" t="inlineStr">
        <is>
          <t>手動</t>
        </is>
      </c>
      <c r="L94" s="12" t="n"/>
      <c r="M94" s="12" t="inlineStr">
        <is>
          <t>OK</t>
        </is>
      </c>
      <c r="N94" s="23" t="n">
        <v>46309</v>
      </c>
      <c r="O94" s="12" t="inlineStr">
        <is>
          <t>佐々木</t>
        </is>
      </c>
      <c r="P94" s="12" t="n"/>
      <c r="Q94" s="15" t="inlineStr">
        <is>
          <t>45_テストエビデンス_画面結合.xlsx／SC-121</t>
        </is>
      </c>
      <c r="R94" s="12" t="n"/>
      <c r="S94" s="12" t="n"/>
      <c r="T94" s="12" t="n"/>
    </row>
    <row r="95" ht="27" customHeight="1">
      <c r="A95" s="12" t="inlineStr">
        <is>
          <t>IT-SC121-N02</t>
        </is>
      </c>
      <c r="B95" s="12" t="inlineStr">
        <is>
          <t>SC-121 イベント登録・編集</t>
        </is>
      </c>
      <c r="C95" s="12" t="inlineStr">
        <is>
          <t>正常系</t>
        </is>
      </c>
      <c r="D95" s="12" t="inlineStr">
        <is>
          <t>参加区分を追加すると、定員が区分の合計になり入力できなくなる</t>
        </is>
      </c>
      <c r="E95" s="12" t="inlineStr">
        <is>
          <t>管理者でログイン</t>
        </is>
      </c>
      <c r="F95" s="12" t="inlineStr">
        <is>
          <t>「＋ 区分を追加」を2回押し、区分の定員に2と1を入力する</t>
        </is>
      </c>
      <c r="G95" s="12" t="inlineStr">
        <is>
          <t>定員欄が3と表示され、直接入力できなくなる</t>
        </is>
      </c>
      <c r="H95" s="12" t="inlineStr">
        <is>
          <t>-（参照のみ）</t>
        </is>
      </c>
      <c r="I95" s="12" t="inlineStr">
        <is>
          <t>-</t>
        </is>
      </c>
      <c r="J95" s="12" t="inlineStr">
        <is>
          <t>SC-121 イベント処理4</t>
        </is>
      </c>
      <c r="K95" s="12" t="inlineStr">
        <is>
          <t>手動</t>
        </is>
      </c>
      <c r="L95" s="12" t="n"/>
      <c r="M95" s="12" t="inlineStr">
        <is>
          <t>OK</t>
        </is>
      </c>
      <c r="N95" s="23" t="n">
        <v>46309</v>
      </c>
      <c r="O95" s="12" t="inlineStr">
        <is>
          <t>佐々木</t>
        </is>
      </c>
      <c r="P95" s="12" t="n"/>
      <c r="Q95" s="15" t="inlineStr">
        <is>
          <t>45_テストエビデンス_画面結合.xlsx／SC-121</t>
        </is>
      </c>
      <c r="R95" s="12" t="n"/>
      <c r="S95" s="12" t="n"/>
      <c r="T95" s="12" t="n"/>
    </row>
    <row r="96" ht="27" customHeight="1">
      <c r="A96" s="12" t="inlineStr">
        <is>
          <t>IT-SC121-N03</t>
        </is>
      </c>
      <c r="B96" s="12" t="inlineStr">
        <is>
          <t>SC-121 イベント登録・編集</t>
        </is>
      </c>
      <c r="C96" s="12" t="inlineStr">
        <is>
          <t>正常系</t>
        </is>
      </c>
      <c r="D96" s="12" t="inlineStr">
        <is>
          <t>参加区分付きのイベントを登録できる</t>
        </is>
      </c>
      <c r="E96" s="12" t="inlineStr">
        <is>
          <t>管理者でログイン</t>
        </is>
      </c>
      <c r="F96" s="12" t="inlineStr">
        <is>
          <t>必須項目と、区分「午前」定員2・「午後」定員1を入力し「保存」を押す</t>
        </is>
      </c>
      <c r="G96" s="12" t="inlineStr">
        <is>
          <t>SC-120へ遷移し、申込状況の定員が3と表示される</t>
        </is>
      </c>
      <c r="H96" s="12" t="inlineStr">
        <is>
          <t>events.capacity=3。ticket_typesに2行追加される</t>
        </is>
      </c>
      <c r="I96" s="12" t="inlineStr">
        <is>
          <t>【操作の前と後に実行し、期待結果のとおりであることを確認する】
SELECT id, name, start_at, place, capacity, application_deadline, deleted_at, updated_at FROM events ORDER BY id;
SELECT id, event_id, name, capacity, updated_at FROM ticket_types ORDER BY event_id, id;</t>
        </is>
      </c>
      <c r="J96" s="12" t="inlineStr">
        <is>
          <t>SC-121 イベント処理5</t>
        </is>
      </c>
      <c r="K96" s="12" t="inlineStr">
        <is>
          <t>手動</t>
        </is>
      </c>
      <c r="L96" s="12" t="n"/>
      <c r="M96" s="12" t="inlineStr">
        <is>
          <t>OK</t>
        </is>
      </c>
      <c r="N96" s="23" t="n">
        <v>46309</v>
      </c>
      <c r="O96" s="12" t="inlineStr">
        <is>
          <t>佐々木</t>
        </is>
      </c>
      <c r="P96" s="12" t="n"/>
      <c r="Q96" s="15" t="inlineStr">
        <is>
          <t>45_テストエビデンス_画面結合.xlsx／SC-121</t>
        </is>
      </c>
      <c r="R96" s="12" t="n"/>
      <c r="S96" s="12" t="n"/>
      <c r="T96" s="12" t="n"/>
    </row>
    <row r="97" ht="27" customHeight="1">
      <c r="A97" s="12" t="inlineStr">
        <is>
          <t>IT-SC121-N04</t>
        </is>
      </c>
      <c r="B97" s="12" t="inlineStr">
        <is>
          <t>SC-121 イベント登録・編集</t>
        </is>
      </c>
      <c r="C97" s="12" t="inlineStr">
        <is>
          <t>正常系</t>
        </is>
      </c>
      <c r="D97" s="12" t="inlineStr">
        <is>
          <t>編集画面に既存の値が表示される</t>
        </is>
      </c>
      <c r="E97" s="12" t="inlineStr">
        <is>
          <t>管理者でログイン、TD-02</t>
        </is>
      </c>
      <c r="F97" s="12" t="inlineStr">
        <is>
          <t>SC-120でTD-02のイベント名を押す</t>
        </is>
      </c>
      <c r="G97" s="12" t="inlineStr">
        <is>
          <t>SC-121（編集）が開き、各入力欄にTD-02の値が表示される</t>
        </is>
      </c>
      <c r="H97" s="12" t="inlineStr">
        <is>
          <t>-（参照のみ）</t>
        </is>
      </c>
      <c r="I97" s="12" t="inlineStr">
        <is>
          <t>-</t>
        </is>
      </c>
      <c r="J97" s="12" t="inlineStr">
        <is>
          <t>SC-121 イベント処理2</t>
        </is>
      </c>
      <c r="K97" s="12" t="inlineStr">
        <is>
          <t>手動</t>
        </is>
      </c>
      <c r="L97" s="12" t="n"/>
      <c r="M97" s="12" t="inlineStr">
        <is>
          <t>OK</t>
        </is>
      </c>
      <c r="N97" s="23" t="n">
        <v>46309</v>
      </c>
      <c r="O97" s="12" t="inlineStr">
        <is>
          <t>佐々木</t>
        </is>
      </c>
      <c r="P97" s="12" t="n"/>
      <c r="Q97" s="15" t="inlineStr">
        <is>
          <t>45_テストエビデンス_画面結合.xlsx／SC-121</t>
        </is>
      </c>
      <c r="R97" s="12" t="n"/>
      <c r="S97" s="12" t="n"/>
      <c r="T97" s="12" t="n"/>
    </row>
    <row r="98" ht="13.5" customHeight="1">
      <c r="A98" s="12" t="inlineStr">
        <is>
          <t>IT-SC121-N05</t>
        </is>
      </c>
      <c r="B98" s="12" t="inlineStr">
        <is>
          <t>SC-121 イベント登録・編集</t>
        </is>
      </c>
      <c r="C98" s="12" t="inlineStr">
        <is>
          <t>正常系</t>
        </is>
      </c>
      <c r="D98" s="12" t="inlineStr">
        <is>
          <t>イベントを編集できる</t>
        </is>
      </c>
      <c r="E98" s="12" t="inlineStr">
        <is>
          <t>管理者でログイン、TD-02</t>
        </is>
      </c>
      <c r="F98" s="12" t="inlineStr">
        <is>
          <t>場所を変更し「保存」を押す</t>
        </is>
      </c>
      <c r="G98" s="12" t="inlineStr">
        <is>
          <t>SC-120へ遷移し、変更後の場所が表示される</t>
        </is>
      </c>
      <c r="H98" s="12" t="inlineStr">
        <is>
          <t>TD-02のevents.placeが更新される</t>
        </is>
      </c>
      <c r="I98" s="12" t="inlineStr">
        <is>
          <t>【操作の前と後に実行し、期待結果のとおりであることを確認する】
SELECT id, name, start_at, place, capacity, application_deadline, deleted_at, updated_at FROM events ORDER BY id;</t>
        </is>
      </c>
      <c r="J98" s="12" t="inlineStr">
        <is>
          <t>SC-121 イベント処理5</t>
        </is>
      </c>
      <c r="K98" s="12" t="inlineStr">
        <is>
          <t>手動</t>
        </is>
      </c>
      <c r="L98" s="12" t="n"/>
      <c r="M98" s="12" t="inlineStr">
        <is>
          <t>NG</t>
        </is>
      </c>
      <c r="N98" s="23" t="n">
        <v>46309</v>
      </c>
      <c r="O98" s="12" t="inlineStr">
        <is>
          <t>佐々木</t>
        </is>
      </c>
      <c r="P98" s="12" t="inlineStr">
        <is>
          <t>「区分に申込があるため変更できません」と表示され、保存できなかった。events の ID=53 の place は「会議室A」のまま変わっていない。参加区分は変更していない（区分の無いイベント）。
【再テスト 2026/10/14】Issue #19 の修正後、場所を「会議室C」に変えて保存するとSC-120へ遷移し、変更後の場所が表示された。events の ID=53 の place が「会議室C」に更新され、ticket_types は変わっていない。</t>
        </is>
      </c>
      <c r="Q98" s="15" t="inlineStr">
        <is>
          <t>45_テストエビデンス_画面結合.xlsx／SC-121</t>
        </is>
      </c>
      <c r="R98" s="12" t="inlineStr">
        <is>
          <t>#19</t>
        </is>
      </c>
      <c r="S98" s="12" t="inlineStr">
        <is>
          <t>OK</t>
        </is>
      </c>
      <c r="T98" s="23" t="n">
        <v>46309</v>
      </c>
    </row>
    <row r="99" ht="27" customHeight="1">
      <c r="A99" s="12" t="inlineStr">
        <is>
          <t>IT-SC121-N06</t>
        </is>
      </c>
      <c r="B99" s="12" t="inlineStr">
        <is>
          <t>SC-121 イベント登録・編集</t>
        </is>
      </c>
      <c r="C99" s="12" t="inlineStr">
        <is>
          <t>正常系</t>
        </is>
      </c>
      <c r="D99" s="12" t="inlineStr">
        <is>
          <t>複製では、開催日時と申込締切が空で、案内が表示される</t>
        </is>
      </c>
      <c r="E99" s="12" t="inlineStr">
        <is>
          <t>管理者でログイン、TD-01</t>
        </is>
      </c>
      <c r="F99" s="12" t="inlineStr">
        <is>
          <t>SC-120でTD-01の「複製」を押す</t>
        </is>
      </c>
      <c r="G99" s="12" t="inlineStr">
        <is>
          <t>開催日時・申込締切が空で、「「（イベント名）」の内容を複写しました。…」の案内が表示される</t>
        </is>
      </c>
      <c r="H99" s="12" t="inlineStr">
        <is>
          <t>-（参照のみ）</t>
        </is>
      </c>
      <c r="I99" s="12" t="inlineStr">
        <is>
          <t>-</t>
        </is>
      </c>
      <c r="J99" s="12" t="inlineStr">
        <is>
          <t>SC-121 項目③</t>
        </is>
      </c>
      <c r="K99" s="12" t="inlineStr">
        <is>
          <t>手動</t>
        </is>
      </c>
      <c r="L99" s="12" t="n"/>
      <c r="M99" s="12" t="inlineStr">
        <is>
          <t>OK</t>
        </is>
      </c>
      <c r="N99" s="23" t="n">
        <v>46308</v>
      </c>
      <c r="O99" s="12" t="inlineStr">
        <is>
          <t>佐々木</t>
        </is>
      </c>
      <c r="P99" s="12" t="inlineStr">
        <is>
          <t>IT-SC120-N03と同じ画面で確認した。</t>
        </is>
      </c>
      <c r="Q99" s="15" t="inlineStr">
        <is>
          <t>45_テストエビデンス_画面結合.xlsx／SC-121</t>
        </is>
      </c>
      <c r="R99" s="12" t="n"/>
      <c r="S99" s="12" t="n"/>
      <c r="T99" s="12" t="n"/>
    </row>
    <row r="100" ht="40.5" customHeight="1">
      <c r="A100" s="12" t="inlineStr">
        <is>
          <t>IT-SC121-E01</t>
        </is>
      </c>
      <c r="B100" s="12" t="inlineStr">
        <is>
          <t>SC-121 イベント登録・編集</t>
        </is>
      </c>
      <c r="C100" s="12" t="inlineStr">
        <is>
          <t>異常系</t>
        </is>
      </c>
      <c r="D100" s="12" t="inlineStr">
        <is>
          <t>イベント名が未入力だと、APIを呼ばずにエラーを表示する</t>
        </is>
      </c>
      <c r="E100" s="12" t="inlineStr">
        <is>
          <t>管理者でログイン</t>
        </is>
      </c>
      <c r="F100" s="12" t="inlineStr">
        <is>
          <t>イベント名を空のまま「保存」を押す</t>
        </is>
      </c>
      <c r="G100" s="12" t="inlineStr">
        <is>
          <t>イベント名の下に「イベント名を入力してください」が表示される。Networkタブに/api/eventsへの送信が出ない</t>
        </is>
      </c>
      <c r="H100" s="12" t="inlineStr">
        <is>
          <t>eventsは変更されない</t>
        </is>
      </c>
      <c r="I100" s="12" t="inlineStr">
        <is>
          <t>【操作の前と後に実行し、結果が同じことを確認する】
SELECT * FROM events ORDER BY id;</t>
        </is>
      </c>
      <c r="J100" s="12" t="inlineStr">
        <is>
          <t>SC-121 イベント処理5</t>
        </is>
      </c>
      <c r="K100" s="12" t="inlineStr">
        <is>
          <t>手動</t>
        </is>
      </c>
      <c r="L100" s="12" t="n"/>
      <c r="M100" s="12" t="inlineStr">
        <is>
          <t>OK</t>
        </is>
      </c>
      <c r="N100" s="23" t="n">
        <v>46309</v>
      </c>
      <c r="O100" s="12" t="inlineStr">
        <is>
          <t>佐々木</t>
        </is>
      </c>
      <c r="P100" s="12" t="n"/>
      <c r="Q100" s="15" t="inlineStr">
        <is>
          <t>45_テストエビデンス_画面結合.xlsx／SC-121</t>
        </is>
      </c>
      <c r="R100" s="12" t="n"/>
      <c r="S100" s="12" t="n"/>
      <c r="T100" s="12" t="n"/>
    </row>
    <row r="101" ht="27" customHeight="1">
      <c r="A101" s="12" t="inlineStr">
        <is>
          <t>IT-SC121-E02</t>
        </is>
      </c>
      <c r="B101" s="12" t="inlineStr">
        <is>
          <t>SC-121 イベント登録・編集</t>
        </is>
      </c>
      <c r="C101" s="12" t="inlineStr">
        <is>
          <t>異常系</t>
        </is>
      </c>
      <c r="D101" s="12" t="inlineStr">
        <is>
          <t>開催日時が過去だとエラーになる</t>
        </is>
      </c>
      <c r="E101" s="12" t="inlineStr">
        <is>
          <t>管理者でログイン</t>
        </is>
      </c>
      <c r="F101" s="12" t="inlineStr">
        <is>
          <t>開催日時に過去の日時を入力し「保存」を押す</t>
        </is>
      </c>
      <c r="G101" s="12" t="inlineStr">
        <is>
          <t>開催日時の下に「未来の日時を入力してください」が表示される</t>
        </is>
      </c>
      <c r="H101" s="12" t="inlineStr">
        <is>
          <t>eventsは変更されない</t>
        </is>
      </c>
      <c r="I101" s="12" t="inlineStr">
        <is>
          <t>【操作の前と後に実行し、結果が同じことを確認する】
SELECT * FROM events ORDER BY id;</t>
        </is>
      </c>
      <c r="J101" s="12" t="inlineStr">
        <is>
          <t>E-V-011</t>
        </is>
      </c>
      <c r="K101" s="12" t="inlineStr">
        <is>
          <t>手動</t>
        </is>
      </c>
      <c r="L101" s="12" t="n"/>
      <c r="M101" s="12" t="inlineStr">
        <is>
          <t>OK</t>
        </is>
      </c>
      <c r="N101" s="23" t="n">
        <v>46309</v>
      </c>
      <c r="O101" s="12" t="inlineStr">
        <is>
          <t>佐々木</t>
        </is>
      </c>
      <c r="P101" s="12" t="n"/>
      <c r="Q101" s="15" t="inlineStr">
        <is>
          <t>45_テストエビデンス_画面結合.xlsx／SC-121</t>
        </is>
      </c>
      <c r="R101" s="12" t="n"/>
      <c r="S101" s="12" t="n"/>
      <c r="T101" s="12" t="n"/>
    </row>
    <row r="102" ht="27" customHeight="1">
      <c r="A102" s="12" t="inlineStr">
        <is>
          <t>IT-SC121-E03</t>
        </is>
      </c>
      <c r="B102" s="12" t="inlineStr">
        <is>
          <t>SC-121 イベント登録・編集</t>
        </is>
      </c>
      <c r="C102" s="12" t="inlineStr">
        <is>
          <t>異常系</t>
        </is>
      </c>
      <c r="D102" s="12" t="inlineStr">
        <is>
          <t>申込締切が開催日時より後だとエラーになる</t>
        </is>
      </c>
      <c r="E102" s="12" t="inlineStr">
        <is>
          <t>管理者でログイン</t>
        </is>
      </c>
      <c r="F102" s="12" t="inlineStr">
        <is>
          <t>申込締切に開催日時より後の日時を入力し「保存」を押す</t>
        </is>
      </c>
      <c r="G102" s="12" t="inlineStr">
        <is>
          <t>「申込締切は開催日時より前にしてください」が表示される</t>
        </is>
      </c>
      <c r="H102" s="12" t="inlineStr">
        <is>
          <t>eventsは変更されない</t>
        </is>
      </c>
      <c r="I102" s="12" t="inlineStr">
        <is>
          <t>【操作の前と後に実行し、結果が同じことを確認する】
SELECT * FROM events ORDER BY id;</t>
        </is>
      </c>
      <c r="J102" s="12" t="inlineStr">
        <is>
          <t>E-V-021</t>
        </is>
      </c>
      <c r="K102" s="12" t="inlineStr">
        <is>
          <t>手動</t>
        </is>
      </c>
      <c r="L102" s="12" t="n"/>
      <c r="M102" s="12" t="inlineStr">
        <is>
          <t>OK</t>
        </is>
      </c>
      <c r="N102" s="23" t="n">
        <v>46309</v>
      </c>
      <c r="O102" s="12" t="inlineStr">
        <is>
          <t>佐々木</t>
        </is>
      </c>
      <c r="P102" s="12" t="n"/>
      <c r="Q102" s="15" t="inlineStr">
        <is>
          <t>45_テストエビデンス_画面結合.xlsx／SC-121</t>
        </is>
      </c>
      <c r="R102" s="12" t="n"/>
      <c r="S102" s="12" t="n"/>
      <c r="T102" s="12" t="n"/>
    </row>
    <row r="103" ht="27" customHeight="1">
      <c r="A103" s="12" t="inlineStr">
        <is>
          <t>IT-SC121-E04</t>
        </is>
      </c>
      <c r="B103" s="12" t="inlineStr">
        <is>
          <t>SC-121 イベント登録・編集</t>
        </is>
      </c>
      <c r="C103" s="12" t="inlineStr">
        <is>
          <t>異常系</t>
        </is>
      </c>
      <c r="D103" s="12" t="inlineStr">
        <is>
          <t>申込のある参加区分は変更できない</t>
        </is>
      </c>
      <c r="E103" s="12" t="inlineStr">
        <is>
          <t>管理者でログイン。TD-01の区分「一般」に受付済の申込がある</t>
        </is>
      </c>
      <c r="F103" s="12" t="inlineStr">
        <is>
          <t>TD-01の編集で区分名を変更し「保存」を押す</t>
        </is>
      </c>
      <c r="G103" s="12" t="inlineStr">
        <is>
          <t>「区分に申込があるため変更できません」が表示される</t>
        </is>
      </c>
      <c r="H103" s="12" t="inlineStr">
        <is>
          <t>ticket_typesは変更されない</t>
        </is>
      </c>
      <c r="I103" s="12" t="inlineStr">
        <is>
          <t>【操作の前と後に実行し、結果が同じことを確認する】
SELECT * FROM ticket_types ORDER BY event_id, id;</t>
        </is>
      </c>
      <c r="J103" s="12" t="inlineStr">
        <is>
          <t>E-B-007</t>
        </is>
      </c>
      <c r="K103" s="12" t="inlineStr">
        <is>
          <t>手動</t>
        </is>
      </c>
      <c r="L103" s="12" t="n"/>
      <c r="M103" s="12" t="inlineStr">
        <is>
          <t>OK</t>
        </is>
      </c>
      <c r="N103" s="23" t="n">
        <v>46309</v>
      </c>
      <c r="O103" s="12" t="inlineStr">
        <is>
          <t>佐々木</t>
        </is>
      </c>
      <c r="P103" s="12" t="n"/>
      <c r="Q103" s="15" t="inlineStr">
        <is>
          <t>45_テストエビデンス_画面結合.xlsx／SC-121</t>
        </is>
      </c>
      <c r="R103" s="12" t="n"/>
      <c r="S103" s="12" t="n"/>
      <c r="T103" s="12" t="n"/>
    </row>
    <row r="104" ht="27" customHeight="1">
      <c r="A104" s="12" t="inlineStr">
        <is>
          <t>IT-SC122-N01</t>
        </is>
      </c>
      <c r="B104" s="12" t="inlineStr">
        <is>
          <t>SC-122 削除済みイベント</t>
        </is>
      </c>
      <c r="C104" s="12" t="inlineStr">
        <is>
          <t>正常系</t>
        </is>
      </c>
      <c r="D104" s="12" t="inlineStr">
        <is>
          <t>削除済みのイベントが一覧表示される</t>
        </is>
      </c>
      <c r="E104" s="12" t="inlineStr">
        <is>
          <t>管理者でログイン。削除済みのイベントがある</t>
        </is>
      </c>
      <c r="F104" s="12" t="inlineStr">
        <is>
          <t>SC-122を開く</t>
        </is>
      </c>
      <c r="G104" s="12" t="inlineStr">
        <is>
          <t>イベント名・開催日時・場所・定員・削除日時と、「復元」「複製」が表示される</t>
        </is>
      </c>
      <c r="H104" s="12" t="inlineStr">
        <is>
          <t>-（参照のみ）</t>
        </is>
      </c>
      <c r="I104" s="12" t="inlineStr">
        <is>
          <t>-</t>
        </is>
      </c>
      <c r="J104" s="12" t="inlineStr">
        <is>
          <t>SC-122 項目②〜⑧</t>
        </is>
      </c>
      <c r="K104" s="12" t="inlineStr">
        <is>
          <t>手動</t>
        </is>
      </c>
      <c r="L104" s="12" t="n"/>
      <c r="M104" s="12" t="inlineStr">
        <is>
          <t>OK</t>
        </is>
      </c>
      <c r="N104" s="23" t="n">
        <v>46309</v>
      </c>
      <c r="O104" s="12" t="inlineStr">
        <is>
          <t>佐々木</t>
        </is>
      </c>
      <c r="P104" s="12" t="n"/>
      <c r="Q104" s="15" t="inlineStr">
        <is>
          <t>45_テストエビデンス_画面結合.xlsx／SC-122</t>
        </is>
      </c>
      <c r="R104" s="12" t="n"/>
      <c r="S104" s="12" t="n"/>
      <c r="T104" s="12" t="n"/>
    </row>
    <row r="105" ht="27" customHeight="1">
      <c r="A105" s="12" t="inlineStr">
        <is>
          <t>IT-SC122-N02</t>
        </is>
      </c>
      <c r="B105" s="12" t="inlineStr">
        <is>
          <t>SC-122 削除済みイベント</t>
        </is>
      </c>
      <c r="C105" s="12" t="inlineStr">
        <is>
          <t>正常系</t>
        </is>
      </c>
      <c r="D105" s="12" t="inlineStr">
        <is>
          <t>削除済みのイベントを復元できる</t>
        </is>
      </c>
      <c r="E105" s="12" t="inlineStr">
        <is>
          <t>管理者でログイン。削除済みのイベントがある</t>
        </is>
      </c>
      <c r="F105" s="12" t="inlineStr">
        <is>
          <t>「復元」を押し、確認でOKを押す</t>
        </is>
      </c>
      <c r="G105" s="12" t="inlineStr">
        <is>
          <t>そのイベントがSC-122の一覧から消え、SC-120の一覧に表示される</t>
        </is>
      </c>
      <c r="H105" s="12" t="inlineStr">
        <is>
          <t>対象のevents.deleted_atがNULLになる</t>
        </is>
      </c>
      <c r="I105" s="12" t="inlineStr">
        <is>
          <t>【操作の前と後に実行し、期待結果のとおりであることを確認する】
SELECT id, name, start_at, place, capacity, application_deadline, deleted_at, updated_at FROM events ORDER BY id;</t>
        </is>
      </c>
      <c r="J105" s="12" t="inlineStr">
        <is>
          <t>SC-122 イベント処理2</t>
        </is>
      </c>
      <c r="K105" s="12" t="inlineStr">
        <is>
          <t>手動</t>
        </is>
      </c>
      <c r="L105" s="12" t="n"/>
      <c r="M105" s="12" t="inlineStr">
        <is>
          <t>OK</t>
        </is>
      </c>
      <c r="N105" s="23" t="n">
        <v>46309</v>
      </c>
      <c r="O105" s="12" t="inlineStr">
        <is>
          <t>佐々木</t>
        </is>
      </c>
      <c r="P105" s="12" t="n"/>
      <c r="Q105" s="15" t="inlineStr">
        <is>
          <t>45_テストエビデンス_画面結合.xlsx／SC-122</t>
        </is>
      </c>
      <c r="R105" s="12" t="n"/>
      <c r="S105" s="12" t="n"/>
      <c r="T105" s="12" t="n"/>
    </row>
    <row r="106" ht="27" customHeight="1">
      <c r="A106" s="12" t="inlineStr">
        <is>
          <t>IT-SC122-N03</t>
        </is>
      </c>
      <c r="B106" s="12" t="inlineStr">
        <is>
          <t>SC-122 削除済みイベント</t>
        </is>
      </c>
      <c r="C106" s="12" t="inlineStr">
        <is>
          <t>正常系</t>
        </is>
      </c>
      <c r="D106" s="12" t="inlineStr">
        <is>
          <t>削除済みのイベントを複製できる</t>
        </is>
      </c>
      <c r="E106" s="12" t="inlineStr">
        <is>
          <t>管理者でログイン。削除済みのイベントがある</t>
        </is>
      </c>
      <c r="F106" s="12" t="inlineStr">
        <is>
          <t>「複製」を押す</t>
        </is>
      </c>
      <c r="G106" s="12" t="inlineStr">
        <is>
          <t>SC-121（新規登録）へ遷移し、開催日時・申込締切以外の項目に内容が入力されている</t>
        </is>
      </c>
      <c r="H106" s="12" t="inlineStr">
        <is>
          <t>eventsは変更されない</t>
        </is>
      </c>
      <c r="I106" s="12" t="inlineStr">
        <is>
          <t>【操作の前と後に実行し、結果が同じことを確認する】
SELECT * FROM events ORDER BY id;</t>
        </is>
      </c>
      <c r="J106" s="12" t="inlineStr">
        <is>
          <t>SC-122 イベント処理3</t>
        </is>
      </c>
      <c r="K106" s="12" t="inlineStr">
        <is>
          <t>手動</t>
        </is>
      </c>
      <c r="L106" s="12" t="n"/>
      <c r="M106" s="12" t="inlineStr">
        <is>
          <t>OK</t>
        </is>
      </c>
      <c r="N106" s="23" t="n">
        <v>46309</v>
      </c>
      <c r="O106" s="12" t="inlineStr">
        <is>
          <t>佐々木</t>
        </is>
      </c>
      <c r="P106" s="12" t="n"/>
      <c r="Q106" s="15" t="inlineStr">
        <is>
          <t>45_テストエビデンス_画面結合.xlsx／SC-122</t>
        </is>
      </c>
      <c r="R106" s="12" t="n"/>
      <c r="S106" s="12" t="n"/>
      <c r="T106" s="12" t="n"/>
    </row>
    <row r="107" ht="40.5" customHeight="1">
      <c r="A107" s="12" t="inlineStr">
        <is>
          <t>IT-SC123-N01</t>
        </is>
      </c>
      <c r="B107" s="12" t="inlineStr">
        <is>
          <t>SC-123 当日受付</t>
        </is>
      </c>
      <c r="C107" s="12" t="inlineStr">
        <is>
          <t>正常系</t>
        </is>
      </c>
      <c r="D107" s="12" t="inlineStr">
        <is>
          <t>申込者とアンケート回答が表示される</t>
        </is>
      </c>
      <c r="E107" s="12" t="inlineStr">
        <is>
          <t>管理者でログイン。TD-01にアンケート回答付きの申込がある</t>
        </is>
      </c>
      <c r="F107" s="12" t="inlineStr">
        <is>
          <t>TD-01のSC-123を開く</t>
        </is>
      </c>
      <c r="G107" s="12" t="inlineStr">
        <is>
          <t>アンケートの質問文と、申込者・区分・ステータス・チェックイン（「未チェックイン」）・アンケート回答が表示される</t>
        </is>
      </c>
      <c r="H107" s="12" t="inlineStr">
        <is>
          <t>-（参照のみ）</t>
        </is>
      </c>
      <c r="I107" s="12" t="inlineStr">
        <is>
          <t>-</t>
        </is>
      </c>
      <c r="J107" s="12" t="inlineStr">
        <is>
          <t>SC-123 項目②〜⑦</t>
        </is>
      </c>
      <c r="K107" s="12" t="inlineStr">
        <is>
          <t>手動</t>
        </is>
      </c>
      <c r="L107" s="12" t="n"/>
      <c r="M107" s="12" t="inlineStr">
        <is>
          <t>OK</t>
        </is>
      </c>
      <c r="N107" s="23" t="n">
        <v>46309</v>
      </c>
      <c r="O107" s="12" t="inlineStr">
        <is>
          <t>佐々木</t>
        </is>
      </c>
      <c r="P107" s="12" t="n"/>
      <c r="Q107" s="15" t="inlineStr">
        <is>
          <t>45_テストエビデンス_画面結合.xlsx／SC-123</t>
        </is>
      </c>
      <c r="R107" s="12" t="n"/>
      <c r="S107" s="12" t="n"/>
      <c r="T107" s="12" t="n"/>
    </row>
    <row r="108" ht="27" customHeight="1">
      <c r="A108" s="12" t="inlineStr">
        <is>
          <t>IT-SC123-N02</t>
        </is>
      </c>
      <c r="B108" s="12" t="inlineStr">
        <is>
          <t>SC-123 当日受付</t>
        </is>
      </c>
      <c r="C108" s="12" t="inlineStr">
        <is>
          <t>正常系</t>
        </is>
      </c>
      <c r="D108" s="12" t="inlineStr">
        <is>
          <t>参加区分の無いイベントは区分が「-」で表示される</t>
        </is>
      </c>
      <c r="E108" s="12" t="inlineStr">
        <is>
          <t>管理者でログイン。TD-02に申込がある</t>
        </is>
      </c>
      <c r="F108" s="12" t="inlineStr">
        <is>
          <t>TD-02のSC-123を開く</t>
        </is>
      </c>
      <c r="G108" s="12" t="inlineStr">
        <is>
          <t>区分の列が「-」と表示される</t>
        </is>
      </c>
      <c r="H108" s="12" t="inlineStr">
        <is>
          <t>-（参照のみ）</t>
        </is>
      </c>
      <c r="I108" s="12" t="inlineStr">
        <is>
          <t>-</t>
        </is>
      </c>
      <c r="J108" s="12" t="inlineStr">
        <is>
          <t>SC-123 項目④</t>
        </is>
      </c>
      <c r="K108" s="12" t="inlineStr">
        <is>
          <t>手動</t>
        </is>
      </c>
      <c r="L108" s="12" t="n"/>
      <c r="M108" s="12" t="inlineStr">
        <is>
          <t>OK</t>
        </is>
      </c>
      <c r="N108" s="23" t="n">
        <v>46309</v>
      </c>
      <c r="O108" s="12" t="inlineStr">
        <is>
          <t>佐々木</t>
        </is>
      </c>
      <c r="P108" s="12" t="n"/>
      <c r="Q108" s="15" t="inlineStr">
        <is>
          <t>45_テストエビデンス_画面結合.xlsx／SC-123</t>
        </is>
      </c>
      <c r="R108" s="12" t="n"/>
      <c r="S108" s="12" t="n"/>
      <c r="T108" s="12" t="n"/>
    </row>
    <row r="109" ht="27" customHeight="1">
      <c r="A109" s="12" t="inlineStr">
        <is>
          <t>IT-SC123-N03</t>
        </is>
      </c>
      <c r="B109" s="12" t="inlineStr">
        <is>
          <t>SC-123 当日受付</t>
        </is>
      </c>
      <c r="C109" s="12" t="inlineStr">
        <is>
          <t>正常系</t>
        </is>
      </c>
      <c r="D109" s="12" t="inlineStr">
        <is>
          <t>未チェックインの申込を、確認なしでチェックインできる</t>
        </is>
      </c>
      <c r="E109" s="12" t="inlineStr">
        <is>
          <t>管理者でログイン。TD-02に受付済の申込（未チェックイン）がある</t>
        </is>
      </c>
      <c r="F109" s="12" t="inlineStr">
        <is>
          <t>その行の「チェックイン」を押す</t>
        </is>
      </c>
      <c r="G109" s="12" t="inlineStr">
        <is>
          <t>確認ダイアログは表示されず、チェックインの列に日時が表示される</t>
        </is>
      </c>
      <c r="H109" s="12" t="inlineStr">
        <is>
          <t>該当のapplications.checked_in_atに日時が入る</t>
        </is>
      </c>
      <c r="I109" s="12" t="inlineStr">
        <is>
          <t>【操作の前と後に実行し、期待結果のとおりであることを確認する】
SELECT id, event_id, user_id, ticket_type_id, status_code, extra_answer, checked_in_at, updated_at FROM applications ORDER BY id;</t>
        </is>
      </c>
      <c r="J109" s="12" t="inlineStr">
        <is>
          <t>SC-123 イベント処理2</t>
        </is>
      </c>
      <c r="K109" s="12" t="inlineStr">
        <is>
          <t>手動</t>
        </is>
      </c>
      <c r="L109" s="12" t="n"/>
      <c r="M109" s="12" t="inlineStr">
        <is>
          <t>OK</t>
        </is>
      </c>
      <c r="N109" s="23" t="n">
        <v>46309</v>
      </c>
      <c r="O109" s="12" t="inlineStr">
        <is>
          <t>佐々木</t>
        </is>
      </c>
      <c r="P109" s="12" t="n"/>
      <c r="Q109" s="15" t="inlineStr">
        <is>
          <t>45_テストエビデンス_画面結合.xlsx／SC-123</t>
        </is>
      </c>
      <c r="R109" s="12" t="n"/>
      <c r="S109" s="12" t="n"/>
      <c r="T109" s="12" t="n"/>
    </row>
    <row r="110" ht="27" customHeight="1">
      <c r="A110" s="12" t="inlineStr">
        <is>
          <t>IT-SC123-N04</t>
        </is>
      </c>
      <c r="B110" s="12" t="inlineStr">
        <is>
          <t>SC-123 当日受付</t>
        </is>
      </c>
      <c r="C110" s="12" t="inlineStr">
        <is>
          <t>正常系</t>
        </is>
      </c>
      <c r="D110" s="12" t="inlineStr">
        <is>
          <t>チェックイン済みの申込は、確認のうえで再度チェックインできる</t>
        </is>
      </c>
      <c r="E110" s="12" t="inlineStr">
        <is>
          <t>管理者でログイン。TD-02にチェックイン済みの申込がある</t>
        </is>
      </c>
      <c r="F110" s="12" t="inlineStr">
        <is>
          <t>その行の「再チェックイン」を押し、確認でOKを押す</t>
        </is>
      </c>
      <c r="G110" s="12" t="inlineStr">
        <is>
          <t>チェックインの日時が新しい日時に更新される</t>
        </is>
      </c>
      <c r="H110" s="12" t="inlineStr">
        <is>
          <t>該当のapplications.checked_in_atが新しい日時に更新される</t>
        </is>
      </c>
      <c r="I110" s="12" t="inlineStr">
        <is>
          <t>【操作の前と後に実行し、期待結果のとおりであることを確認する】
SELECT id, event_id, user_id, ticket_type_id, status_code, extra_answer, checked_in_at, updated_at FROM applications ORDER BY id;</t>
        </is>
      </c>
      <c r="J110" s="12" t="inlineStr">
        <is>
          <t>SC-123 イベント処理3</t>
        </is>
      </c>
      <c r="K110" s="12" t="inlineStr">
        <is>
          <t>手動</t>
        </is>
      </c>
      <c r="L110" s="12" t="n"/>
      <c r="M110" s="12" t="inlineStr">
        <is>
          <t>OK</t>
        </is>
      </c>
      <c r="N110" s="23" t="n">
        <v>46309</v>
      </c>
      <c r="O110" s="12" t="inlineStr">
        <is>
          <t>佐々木</t>
        </is>
      </c>
      <c r="P110" s="12" t="n"/>
      <c r="Q110" s="15" t="inlineStr">
        <is>
          <t>45_テストエビデンス_画面結合.xlsx／SC-123</t>
        </is>
      </c>
      <c r="R110" s="12" t="n"/>
      <c r="S110" s="12" t="n"/>
      <c r="T110" s="12" t="n"/>
    </row>
    <row r="111" ht="27" customHeight="1">
      <c r="A111" s="12" t="inlineStr">
        <is>
          <t>IT-SC123-N05</t>
        </is>
      </c>
      <c r="B111" s="12" t="inlineStr">
        <is>
          <t>SC-123 当日受付</t>
        </is>
      </c>
      <c r="C111" s="12" t="inlineStr">
        <is>
          <t>正常系</t>
        </is>
      </c>
      <c r="D111" s="12" t="inlineStr">
        <is>
          <t>再チェックインの確認で取り消すと、日時は変わらない</t>
        </is>
      </c>
      <c r="E111" s="12" t="inlineStr">
        <is>
          <t>管理者でログイン。TD-02にチェックイン済みの申込がある</t>
        </is>
      </c>
      <c r="F111" s="12" t="inlineStr">
        <is>
          <t>その行の「再チェックイン」を押し、確認で取り消す</t>
        </is>
      </c>
      <c r="G111" s="12" t="inlineStr">
        <is>
          <t>チェックインの日時は変わらない</t>
        </is>
      </c>
      <c r="H111" s="12" t="inlineStr">
        <is>
          <t>該当のapplications.checked_in_atは変更されない</t>
        </is>
      </c>
      <c r="I111" s="12" t="inlineStr">
        <is>
          <t>【操作の前と後に実行し、結果が同じことを確認する】
SELECT * FROM applications ORDER BY id;</t>
        </is>
      </c>
      <c r="J111" s="12" t="inlineStr">
        <is>
          <t>SC-123 イベント処理3</t>
        </is>
      </c>
      <c r="K111" s="12" t="inlineStr">
        <is>
          <t>手動</t>
        </is>
      </c>
      <c r="L111" s="12" t="n"/>
      <c r="M111" s="12" t="inlineStr">
        <is>
          <t>OK</t>
        </is>
      </c>
      <c r="N111" s="23" t="n">
        <v>46309</v>
      </c>
      <c r="O111" s="12" t="inlineStr">
        <is>
          <t>佐々木</t>
        </is>
      </c>
      <c r="P111" s="12" t="n"/>
      <c r="Q111" s="15" t="inlineStr">
        <is>
          <t>45_テストエビデンス_画面結合.xlsx／SC-123</t>
        </is>
      </c>
      <c r="R111" s="12" t="n"/>
      <c r="S111" s="12" t="n"/>
      <c r="T111" s="12" t="n"/>
    </row>
    <row r="112" ht="27" customHeight="1">
      <c r="A112" s="12" t="inlineStr">
        <is>
          <t>IT-SC123-E01</t>
        </is>
      </c>
      <c r="B112" s="12" t="inlineStr">
        <is>
          <t>SC-123 当日受付</t>
        </is>
      </c>
      <c r="C112" s="12" t="inlineStr">
        <is>
          <t>異常系</t>
        </is>
      </c>
      <c r="D112" s="12" t="inlineStr">
        <is>
          <t>キャンセル待ちの申込には「チェックイン」が表示されない</t>
        </is>
      </c>
      <c r="E112" s="12" t="inlineStr">
        <is>
          <t>管理者でログイン。TD-02にキャンセル待ちの申込がある</t>
        </is>
      </c>
      <c r="F112" s="12" t="inlineStr">
        <is>
          <t>TD-02のSC-123を開く</t>
        </is>
      </c>
      <c r="G112" s="12" t="inlineStr">
        <is>
          <t>キャンセル待ちの行に「チェックイン」が表示されない</t>
        </is>
      </c>
      <c r="H112" s="12" t="inlineStr">
        <is>
          <t>-（参照のみ）</t>
        </is>
      </c>
      <c r="I112" s="12" t="inlineStr">
        <is>
          <t>-</t>
        </is>
      </c>
      <c r="J112" s="12" t="inlineStr">
        <is>
          <t>SC-123 項目⑧</t>
        </is>
      </c>
      <c r="K112" s="12" t="inlineStr">
        <is>
          <t>手動</t>
        </is>
      </c>
      <c r="L112" s="12" t="n"/>
      <c r="M112" s="12" t="inlineStr">
        <is>
          <t>OK</t>
        </is>
      </c>
      <c r="N112" s="23" t="n">
        <v>46309</v>
      </c>
      <c r="O112" s="12" t="inlineStr">
        <is>
          <t>佐々木</t>
        </is>
      </c>
      <c r="P112" s="12" t="n"/>
      <c r="Q112" s="15" t="inlineStr">
        <is>
          <t>45_テストエビデンス_画面結合.xlsx／SC-123</t>
        </is>
      </c>
      <c r="R112" s="12" t="n"/>
      <c r="S112" s="12" t="n"/>
      <c r="T112" s="12" t="n"/>
    </row>
    <row r="113" ht="27" customHeight="1">
      <c r="A113" s="12" t="inlineStr">
        <is>
          <t>IT-SC130-N01</t>
        </is>
      </c>
      <c r="B113" s="12" t="inlineStr">
        <is>
          <t>SC-130 申込状況・実績</t>
        </is>
      </c>
      <c r="C113" s="12" t="inlineStr">
        <is>
          <t>正常系</t>
        </is>
      </c>
      <c r="D113" s="12" t="inlineStr">
        <is>
          <t>イベントごとの実績が表示される</t>
        </is>
      </c>
      <c r="E113" s="12" t="inlineStr">
        <is>
          <t>管理者でログイン。TD-02（定員1）に受付済の申込が1件ある</t>
        </is>
      </c>
      <c r="F113" s="12" t="inlineStr">
        <is>
          <t>SC-130を開く</t>
        </is>
      </c>
      <c r="G113" s="12" t="inlineStr">
        <is>
          <t>TD-02の行に定員1・受付済数1・充足率が表示される</t>
        </is>
      </c>
      <c r="H113" s="12" t="inlineStr">
        <is>
          <t>-（参照のみ）</t>
        </is>
      </c>
      <c r="I113" s="12" t="inlineStr">
        <is>
          <t>-</t>
        </is>
      </c>
      <c r="J113" s="12" t="inlineStr">
        <is>
          <t>SC-130 項目③〜⑦</t>
        </is>
      </c>
      <c r="K113" s="12" t="inlineStr">
        <is>
          <t>手動</t>
        </is>
      </c>
      <c r="L113" s="12" t="n"/>
      <c r="M113" s="12" t="inlineStr">
        <is>
          <t>OK</t>
        </is>
      </c>
      <c r="N113" s="23" t="n">
        <v>46309</v>
      </c>
      <c r="O113" s="12" t="inlineStr">
        <is>
          <t>佐々木</t>
        </is>
      </c>
      <c r="P113" s="12" t="n"/>
      <c r="Q113" s="15" t="inlineStr">
        <is>
          <t>45_テストエビデンス_画面結合.xlsx／SC-130</t>
        </is>
      </c>
      <c r="R113" s="12" t="n"/>
      <c r="S113" s="12" t="n"/>
      <c r="T113" s="12" t="n"/>
    </row>
    <row r="114" ht="13.5" customHeight="1">
      <c r="A114" s="12" t="inlineStr">
        <is>
          <t>IT-SC130-N02</t>
        </is>
      </c>
      <c r="B114" s="12" t="inlineStr">
        <is>
          <t>SC-130 申込状況・実績</t>
        </is>
      </c>
      <c r="C114" s="12" t="inlineStr">
        <is>
          <t>正常系</t>
        </is>
      </c>
      <c r="D114" s="12" t="inlineStr">
        <is>
          <t>申込数の多い順に並び替えられる</t>
        </is>
      </c>
      <c r="E114" s="12" t="inlineStr">
        <is>
          <t>管理者でログイン</t>
        </is>
      </c>
      <c r="F114" s="12" t="inlineStr">
        <is>
          <t>並び順で「申込数の多い順」を選ぶ</t>
        </is>
      </c>
      <c r="G114" s="12" t="inlineStr">
        <is>
          <t>受付済数の多い順に並ぶ</t>
        </is>
      </c>
      <c r="H114" s="12" t="inlineStr">
        <is>
          <t>-（参照のみ）</t>
        </is>
      </c>
      <c r="I114" s="12" t="inlineStr">
        <is>
          <t>-</t>
        </is>
      </c>
      <c r="J114" s="12" t="inlineStr">
        <is>
          <t>SC-130 イベント処理2</t>
        </is>
      </c>
      <c r="K114" s="12" t="inlineStr">
        <is>
          <t>手動</t>
        </is>
      </c>
      <c r="L114" s="12" t="n"/>
      <c r="M114" s="12" t="inlineStr">
        <is>
          <t>OK</t>
        </is>
      </c>
      <c r="N114" s="23" t="n">
        <v>46309</v>
      </c>
      <c r="O114" s="12" t="inlineStr">
        <is>
          <t>佐々木</t>
        </is>
      </c>
      <c r="P114" s="12" t="n"/>
      <c r="Q114" s="15" t="inlineStr">
        <is>
          <t>45_テストエビデンス_画面結合.xlsx／SC-130</t>
        </is>
      </c>
      <c r="R114" s="12" t="n"/>
      <c r="S114" s="12" t="n"/>
      <c r="T114" s="12" t="n"/>
    </row>
    <row r="115" ht="40.5" customHeight="1">
      <c r="A115" s="12" t="inlineStr">
        <is>
          <t>IT-SC130-N03</t>
        </is>
      </c>
      <c r="B115" s="12" t="inlineStr">
        <is>
          <t>SC-130 申込状況・実績</t>
        </is>
      </c>
      <c r="C115" s="12" t="inlineStr">
        <is>
          <t>正常系</t>
        </is>
      </c>
      <c r="D115" s="12" t="inlineStr">
        <is>
          <t>CSVをダウンロードできる</t>
        </is>
      </c>
      <c r="E115" s="12" t="inlineStr">
        <is>
          <t>管理者でログイン。申込がある</t>
        </is>
      </c>
      <c r="F115" s="12" t="inlineStr">
        <is>
          <t>「CSVダウンロード」を押し、ダウンロードしたファイルをExcelで開く</t>
        </is>
      </c>
      <c r="G115" s="12" t="inlineStr">
        <is>
          <t>文字化けせず、「イベント名・申込者名・申込日時・ステータス・アンケート回答・参加区分」の6列が表示される。ステータス列は「受付済」等の表示名になる</t>
        </is>
      </c>
      <c r="H115" s="12" t="inlineStr">
        <is>
          <t>-（参照のみ）</t>
        </is>
      </c>
      <c r="I115" s="12" t="inlineStr">
        <is>
          <t>-</t>
        </is>
      </c>
      <c r="J115" s="12" t="inlineStr">
        <is>
          <t>SC-130 イベント処理3</t>
        </is>
      </c>
      <c r="K115" s="12" t="inlineStr">
        <is>
          <t>手動</t>
        </is>
      </c>
      <c r="L115" s="12" t="n"/>
      <c r="M115" s="12" t="inlineStr">
        <is>
          <t>OK</t>
        </is>
      </c>
      <c r="N115" s="23" t="n">
        <v>46309</v>
      </c>
      <c r="O115" s="12" t="inlineStr">
        <is>
          <t>佐々木</t>
        </is>
      </c>
      <c r="P115" s="12" t="n"/>
      <c r="Q115" s="15" t="inlineStr">
        <is>
          <t>45_テストエビデンス_画面結合.xlsx／SC-130</t>
        </is>
      </c>
      <c r="R115" s="12" t="n"/>
      <c r="S115" s="12" t="n"/>
      <c r="T115" s="12" t="n"/>
    </row>
    <row r="116" ht="27" customHeight="1">
      <c r="A116" s="12" t="inlineStr">
        <is>
          <t>IT-SC140-N01</t>
        </is>
      </c>
      <c r="B116" s="12" t="inlineStr">
        <is>
          <t>SC-140 利用者管理</t>
        </is>
      </c>
      <c r="C116" s="12" t="inlineStr">
        <is>
          <t>正常系</t>
        </is>
      </c>
      <c r="D116" s="12" t="inlineStr">
        <is>
          <t>利用者が一覧表示される</t>
        </is>
      </c>
      <c r="E116" s="12" t="inlineStr">
        <is>
          <t>管理者でログイン</t>
        </is>
      </c>
      <c r="F116" s="12" t="inlineStr">
        <is>
          <t>SC-140を開く</t>
        </is>
      </c>
      <c r="G116" s="12" t="inlineStr">
        <is>
          <t>ID・名前・メールアドレス・ロールが表示される。ロールは「一般利用者」「管理者」と表示される</t>
        </is>
      </c>
      <c r="H116" s="12" t="inlineStr">
        <is>
          <t>-（参照のみ）</t>
        </is>
      </c>
      <c r="I116" s="12" t="inlineStr">
        <is>
          <t>-</t>
        </is>
      </c>
      <c r="J116" s="12" t="inlineStr">
        <is>
          <t>SC-140 項目⑥〜⑨</t>
        </is>
      </c>
      <c r="K116" s="12" t="inlineStr">
        <is>
          <t>手動</t>
        </is>
      </c>
      <c r="L116" s="12" t="n"/>
      <c r="M116" s="12" t="inlineStr">
        <is>
          <t>OK</t>
        </is>
      </c>
      <c r="N116" s="23" t="n">
        <v>46309</v>
      </c>
      <c r="O116" s="12" t="inlineStr">
        <is>
          <t>佐々木</t>
        </is>
      </c>
      <c r="P116" s="12" t="n"/>
      <c r="Q116" s="15" t="inlineStr">
        <is>
          <t>45_テストエビデンス_画面結合.xlsx／SC-140</t>
        </is>
      </c>
      <c r="R116" s="12" t="n"/>
      <c r="S116" s="12" t="n"/>
      <c r="T116" s="12" t="n"/>
    </row>
    <row r="117" ht="27" customHeight="1">
      <c r="A117" s="12" t="inlineStr">
        <is>
          <t>IT-SC140-N02</t>
        </is>
      </c>
      <c r="B117" s="12" t="inlineStr">
        <is>
          <t>SC-140 利用者管理</t>
        </is>
      </c>
      <c r="C117" s="12" t="inlineStr">
        <is>
          <t>正常系</t>
        </is>
      </c>
      <c r="D117" s="12" t="inlineStr">
        <is>
          <t>退会済みの利用者には「退会済み」が表示される</t>
        </is>
      </c>
      <c r="E117" s="12" t="inlineStr">
        <is>
          <t>管理者でログイン。退会済みの利用者がいる</t>
        </is>
      </c>
      <c r="F117" s="12" t="inlineStr">
        <is>
          <t>SC-140を開く</t>
        </is>
      </c>
      <c r="G117" s="12" t="inlineStr">
        <is>
          <t>対象の行の名前が「退会済み利用者」、ロールの列に「退会済み」が表示される</t>
        </is>
      </c>
      <c r="H117" s="12" t="inlineStr">
        <is>
          <t>-（参照のみ）</t>
        </is>
      </c>
      <c r="I117" s="12" t="inlineStr">
        <is>
          <t>-</t>
        </is>
      </c>
      <c r="J117" s="12" t="inlineStr">
        <is>
          <t>SC-140 項目⑨</t>
        </is>
      </c>
      <c r="K117" s="12" t="inlineStr">
        <is>
          <t>手動</t>
        </is>
      </c>
      <c r="L117" s="12" t="n"/>
      <c r="M117" s="12" t="inlineStr">
        <is>
          <t>OK</t>
        </is>
      </c>
      <c r="N117" s="23" t="n">
        <v>46309</v>
      </c>
      <c r="O117" s="12" t="inlineStr">
        <is>
          <t>佐々木</t>
        </is>
      </c>
      <c r="P117" s="12" t="n"/>
      <c r="Q117" s="15" t="inlineStr">
        <is>
          <t>45_テストエビデンス_画面結合.xlsx／SC-140</t>
        </is>
      </c>
      <c r="R117" s="12" t="n"/>
      <c r="S117" s="12" t="n"/>
      <c r="T117" s="12" t="n"/>
    </row>
    <row r="118" ht="27" customHeight="1">
      <c r="A118" s="12" t="inlineStr">
        <is>
          <t>IT-SC140-N03</t>
        </is>
      </c>
      <c r="B118" s="12" t="inlineStr">
        <is>
          <t>SC-140 利用者管理</t>
        </is>
      </c>
      <c r="C118" s="12" t="inlineStr">
        <is>
          <t>正常系</t>
        </is>
      </c>
      <c r="D118" s="12" t="inlineStr">
        <is>
          <t>管理者アカウントを登録できる</t>
        </is>
      </c>
      <c r="E118" s="12" t="inlineStr">
        <is>
          <t>管理者でログイン</t>
        </is>
      </c>
      <c r="F118" s="12" t="inlineStr">
        <is>
          <t>名前・未登録のメールアドレス・初期パスワードTest1234を入力し「管理者を登録」を押す</t>
        </is>
      </c>
      <c r="G118" s="12" t="inlineStr">
        <is>
          <t>入力欄が空になり、一覧にロール「管理者」で追加される</t>
        </is>
      </c>
      <c r="H118" s="12" t="inlineStr">
        <is>
          <t>usersに1行追加される（role_code=2、password_hashがハッシュ値）</t>
        </is>
      </c>
      <c r="I118" s="12" t="inlineStr">
        <is>
          <t>【操作の前と後に実行し、期待結果のとおりであることを確認する】
SELECT id, name, email, role_code, password_hash, anonymized_at, updated_at FROM users ORDER BY id;</t>
        </is>
      </c>
      <c r="J118" s="12" t="inlineStr">
        <is>
          <t>SC-140 イベント処理2</t>
        </is>
      </c>
      <c r="K118" s="12" t="inlineStr">
        <is>
          <t>手動</t>
        </is>
      </c>
      <c r="L118" s="12" t="n"/>
      <c r="M118" s="12" t="inlineStr">
        <is>
          <t>OK</t>
        </is>
      </c>
      <c r="N118" s="23" t="n">
        <v>46309</v>
      </c>
      <c r="O118" s="12" t="inlineStr">
        <is>
          <t>佐々木</t>
        </is>
      </c>
      <c r="P118" s="12" t="n"/>
      <c r="Q118" s="15" t="inlineStr">
        <is>
          <t>45_テストエビデンス_画面結合.xlsx／SC-140</t>
        </is>
      </c>
      <c r="R118" s="12" t="n"/>
      <c r="S118" s="12" t="n"/>
      <c r="T118" s="12" t="n"/>
    </row>
    <row r="119" ht="27" customHeight="1">
      <c r="A119" s="12" t="inlineStr">
        <is>
          <t>IT-SC140-N04</t>
        </is>
      </c>
      <c r="B119" s="12" t="inlineStr">
        <is>
          <t>SC-140 利用者管理</t>
        </is>
      </c>
      <c r="C119" s="12" t="inlineStr">
        <is>
          <t>正常系</t>
        </is>
      </c>
      <c r="D119" s="12" t="inlineStr">
        <is>
          <t>登録した管理者アカウントでログインできる</t>
        </is>
      </c>
      <c r="E119" s="12" t="inlineStr">
        <is>
          <t>上記で登録した後</t>
        </is>
      </c>
      <c r="F119" s="12" t="inlineStr">
        <is>
          <t>ログアウトし、登録したメールアドレスとTest1234でログインする</t>
        </is>
      </c>
      <c r="G119" s="12" t="inlineStr">
        <is>
          <t>SC-110へ遷移する</t>
        </is>
      </c>
      <c r="H119" s="12" t="inlineStr">
        <is>
          <t>-（参照のみ）</t>
        </is>
      </c>
      <c r="I119" s="12" t="inlineStr">
        <is>
          <t>-</t>
        </is>
      </c>
      <c r="J119" s="12" t="inlineStr">
        <is>
          <t>AP-010</t>
        </is>
      </c>
      <c r="K119" s="12" t="inlineStr">
        <is>
          <t>手動</t>
        </is>
      </c>
      <c r="L119" s="12" t="n"/>
      <c r="M119" s="12" t="inlineStr">
        <is>
          <t>OK</t>
        </is>
      </c>
      <c r="N119" s="23" t="n">
        <v>46309</v>
      </c>
      <c r="O119" s="12" t="inlineStr">
        <is>
          <t>佐々木</t>
        </is>
      </c>
      <c r="P119" s="12" t="n"/>
      <c r="Q119" s="15" t="inlineStr">
        <is>
          <t>45_テストエビデンス_画面結合.xlsx／SC-140</t>
        </is>
      </c>
      <c r="R119" s="12" t="n"/>
      <c r="S119" s="12" t="n"/>
      <c r="T119" s="12" t="n"/>
    </row>
    <row r="120" ht="13.5" customHeight="1">
      <c r="A120" s="12" t="inlineStr">
        <is>
          <t>IT-SC140-N05</t>
        </is>
      </c>
      <c r="B120" s="12" t="inlineStr">
        <is>
          <t>SC-140 利用者管理</t>
        </is>
      </c>
      <c r="C120" s="12" t="inlineStr">
        <is>
          <t>正常系</t>
        </is>
      </c>
      <c r="D120" s="12" t="inlineStr">
        <is>
          <t>名前を押すと利用者詳細へ遷移する</t>
        </is>
      </c>
      <c r="E120" s="12" t="inlineStr">
        <is>
          <t>管理者でログイン</t>
        </is>
      </c>
      <c r="F120" s="12" t="inlineStr">
        <is>
          <t>一覧の名前を押す</t>
        </is>
      </c>
      <c r="G120" s="12" t="inlineStr">
        <is>
          <t>その利用者のSC-141へ遷移する</t>
        </is>
      </c>
      <c r="H120" s="12" t="inlineStr">
        <is>
          <t>-（参照のみ）</t>
        </is>
      </c>
      <c r="I120" s="12" t="inlineStr">
        <is>
          <t>-</t>
        </is>
      </c>
      <c r="J120" s="12" t="inlineStr">
        <is>
          <t>SC-140 イベント処理3</t>
        </is>
      </c>
      <c r="K120" s="12" t="inlineStr">
        <is>
          <t>手動</t>
        </is>
      </c>
      <c r="L120" s="12" t="n"/>
      <c r="M120" s="12" t="inlineStr">
        <is>
          <t>OK</t>
        </is>
      </c>
      <c r="N120" s="23" t="n">
        <v>46309</v>
      </c>
      <c r="O120" s="12" t="inlineStr">
        <is>
          <t>佐々木</t>
        </is>
      </c>
      <c r="P120" s="12" t="n"/>
      <c r="Q120" s="15" t="inlineStr">
        <is>
          <t>45_テストエビデンス_画面結合.xlsx／SC-140</t>
        </is>
      </c>
      <c r="R120" s="12" t="n"/>
      <c r="S120" s="12" t="n"/>
      <c r="T120" s="12" t="n"/>
    </row>
    <row r="121" ht="27" customHeight="1">
      <c r="A121" s="12" t="inlineStr">
        <is>
          <t>IT-SC140-E01</t>
        </is>
      </c>
      <c r="B121" s="12" t="inlineStr">
        <is>
          <t>SC-140 利用者管理</t>
        </is>
      </c>
      <c r="C121" s="12" t="inlineStr">
        <is>
          <t>異常系</t>
        </is>
      </c>
      <c r="D121" s="12" t="inlineStr">
        <is>
          <t>登録済みのメールアドレスでは管理者を登録できない</t>
        </is>
      </c>
      <c r="E121" s="12" t="inlineStr">
        <is>
          <t>管理者でログイン</t>
        </is>
      </c>
      <c r="F121" s="12" t="inlineStr">
        <is>
          <t>メールアドレスにgeneral@example.comを入力し「管理者を登録」を押す</t>
        </is>
      </c>
      <c r="G121" s="12" t="inlineStr">
        <is>
          <t>「このメールアドレスは既に登録されています」が表示される</t>
        </is>
      </c>
      <c r="H121" s="12" t="inlineStr">
        <is>
          <t>usersの行数は変わらない</t>
        </is>
      </c>
      <c r="I121" s="12" t="inlineStr">
        <is>
          <t>【操作の前と後に実行し、結果が同じことを確認する】
SELECT * FROM users ORDER BY id;</t>
        </is>
      </c>
      <c r="J121" s="12" t="inlineStr">
        <is>
          <t>E-B-015</t>
        </is>
      </c>
      <c r="K121" s="12" t="inlineStr">
        <is>
          <t>手動</t>
        </is>
      </c>
      <c r="L121" s="12" t="n"/>
      <c r="M121" s="12" t="inlineStr">
        <is>
          <t>OK</t>
        </is>
      </c>
      <c r="N121" s="23" t="n">
        <v>46309</v>
      </c>
      <c r="O121" s="12" t="inlineStr">
        <is>
          <t>佐々木</t>
        </is>
      </c>
      <c r="P121" s="12" t="n"/>
      <c r="Q121" s="15" t="inlineStr">
        <is>
          <t>45_テストエビデンス_画面結合.xlsx／SC-140</t>
        </is>
      </c>
      <c r="R121" s="12" t="n"/>
      <c r="S121" s="12" t="n"/>
      <c r="T121" s="12" t="n"/>
    </row>
    <row r="122" ht="27" customHeight="1">
      <c r="A122" s="12" t="inlineStr">
        <is>
          <t>IT-SC140-E02</t>
        </is>
      </c>
      <c r="B122" s="12" t="inlineStr">
        <is>
          <t>SC-140 利用者管理</t>
        </is>
      </c>
      <c r="C122" s="12" t="inlineStr">
        <is>
          <t>異常系</t>
        </is>
      </c>
      <c r="D122" s="12" t="inlineStr">
        <is>
          <t>条件を満たさない初期パスワードでは登録できない</t>
        </is>
      </c>
      <c r="E122" s="12" t="inlineStr">
        <is>
          <t>管理者でログイン</t>
        </is>
      </c>
      <c r="F122" s="12" t="inlineStr">
        <is>
          <t>初期パスワードにShort1を入力し「管理者を登録」を押す</t>
        </is>
      </c>
      <c r="G122" s="12" t="inlineStr">
        <is>
          <t>初期パスワード欄の下に条件のエラーメッセージが表示される</t>
        </is>
      </c>
      <c r="H122" s="12" t="inlineStr">
        <is>
          <t>usersの行数は変わらない</t>
        </is>
      </c>
      <c r="I122" s="12" t="inlineStr">
        <is>
          <t>【操作の前と後に実行し、結果が同じことを確認する】
SELECT * FROM users ORDER BY id;</t>
        </is>
      </c>
      <c r="J122" s="12" t="inlineStr">
        <is>
          <t>E-V-025</t>
        </is>
      </c>
      <c r="K122" s="12" t="inlineStr">
        <is>
          <t>手動</t>
        </is>
      </c>
      <c r="L122" s="12" t="n"/>
      <c r="M122" s="12" t="inlineStr">
        <is>
          <t>OK</t>
        </is>
      </c>
      <c r="N122" s="23" t="n">
        <v>46309</v>
      </c>
      <c r="O122" s="12" t="inlineStr">
        <is>
          <t>佐々木</t>
        </is>
      </c>
      <c r="P122" s="12" t="n"/>
      <c r="Q122" s="15" t="inlineStr">
        <is>
          <t>45_テストエビデンス_画面結合.xlsx／SC-140</t>
        </is>
      </c>
      <c r="R122" s="12" t="n"/>
      <c r="S122" s="12" t="n"/>
      <c r="T122" s="12" t="n"/>
    </row>
    <row r="123" ht="40.5" customHeight="1">
      <c r="A123" s="12" t="inlineStr">
        <is>
          <t>IT-SC141-N01</t>
        </is>
      </c>
      <c r="B123" s="12" t="inlineStr">
        <is>
          <t>SC-141 利用者詳細</t>
        </is>
      </c>
      <c r="C123" s="12" t="inlineStr">
        <is>
          <t>正常系</t>
        </is>
      </c>
      <c r="D123" s="12" t="inlineStr">
        <is>
          <t>利用者の基本情報と履歴が表示される</t>
        </is>
      </c>
      <c r="E123" s="12" t="inlineStr">
        <is>
          <t>管理者でログイン。一般ユーザーに申込・お気に入り・コメントがある</t>
        </is>
      </c>
      <c r="F123" s="12" t="inlineStr">
        <is>
          <t>一般ユーザーのSC-141を開く</t>
        </is>
      </c>
      <c r="G123" s="12" t="inlineStr">
        <is>
          <t>名前・メールアドレス・利用者区分と、申込一覧・お気に入り一覧・コメント履歴が表示される。キャンセル等の操作ボタンは無い</t>
        </is>
      </c>
      <c r="H123" s="12" t="inlineStr">
        <is>
          <t>-（参照のみ）</t>
        </is>
      </c>
      <c r="I123" s="12" t="inlineStr">
        <is>
          <t>-</t>
        </is>
      </c>
      <c r="J123" s="12" t="inlineStr">
        <is>
          <t>SC-141 項目②〜⑲</t>
        </is>
      </c>
      <c r="K123" s="12" t="inlineStr">
        <is>
          <t>手動</t>
        </is>
      </c>
      <c r="L123" s="12" t="n"/>
      <c r="M123" s="12" t="inlineStr">
        <is>
          <t>OK</t>
        </is>
      </c>
      <c r="N123" s="23" t="n">
        <v>46309</v>
      </c>
      <c r="O123" s="12" t="inlineStr">
        <is>
          <t>佐々木</t>
        </is>
      </c>
      <c r="P123" s="12" t="n"/>
      <c r="Q123" s="15" t="inlineStr">
        <is>
          <t>45_テストエビデンス_画面結合.xlsx／SC-141</t>
        </is>
      </c>
      <c r="R123" s="12" t="n"/>
      <c r="S123" s="12" t="n"/>
      <c r="T123" s="12" t="n"/>
    </row>
    <row r="124" ht="27" customHeight="1">
      <c r="A124" s="12" t="inlineStr">
        <is>
          <t>IT-SC141-N02</t>
        </is>
      </c>
      <c r="B124" s="12" t="inlineStr">
        <is>
          <t>SC-141 利用者詳細</t>
        </is>
      </c>
      <c r="C124" s="12" t="inlineStr">
        <is>
          <t>正常系</t>
        </is>
      </c>
      <c r="D124" s="12" t="inlineStr">
        <is>
          <t>論理削除済みのコメントは削除済みの表示になる</t>
        </is>
      </c>
      <c r="E124" s="12" t="inlineStr">
        <is>
          <t>管理者でログイン。一般ユーザーに論理削除済みのコメントがある</t>
        </is>
      </c>
      <c r="F124" s="12" t="inlineStr">
        <is>
          <t>一般ユーザーのSC-141を開く</t>
        </is>
      </c>
      <c r="G124" s="12" t="inlineStr">
        <is>
          <t>コメント履歴の該当の行の本文が「このコメントは削除されました」と表示される</t>
        </is>
      </c>
      <c r="H124" s="12" t="inlineStr">
        <is>
          <t>-（参照のみ）</t>
        </is>
      </c>
      <c r="I124" s="12" t="inlineStr">
        <is>
          <t>-</t>
        </is>
      </c>
      <c r="J124" s="12" t="inlineStr">
        <is>
          <t>SC-141 項目⑱</t>
        </is>
      </c>
      <c r="K124" s="12" t="inlineStr">
        <is>
          <t>手動</t>
        </is>
      </c>
      <c r="L124" s="12" t="n"/>
      <c r="M124" s="12" t="inlineStr">
        <is>
          <t>OK</t>
        </is>
      </c>
      <c r="N124" s="23" t="n">
        <v>46309</v>
      </c>
      <c r="O124" s="12" t="inlineStr">
        <is>
          <t>佐々木</t>
        </is>
      </c>
      <c r="P124" s="12" t="n"/>
      <c r="Q124" s="15" t="inlineStr">
        <is>
          <t>45_テストエビデンス_画面結合.xlsx／SC-141</t>
        </is>
      </c>
      <c r="R124" s="12" t="n"/>
      <c r="S124" s="12" t="n"/>
      <c r="T124" s="12" t="n"/>
    </row>
    <row r="125" ht="27" customHeight="1">
      <c r="A125" s="12" t="inlineStr">
        <is>
          <t>IT-SC141-N03</t>
        </is>
      </c>
      <c r="B125" s="12" t="inlineStr">
        <is>
          <t>SC-141 利用者詳細</t>
        </is>
      </c>
      <c r="C125" s="12" t="inlineStr">
        <is>
          <t>正常系</t>
        </is>
      </c>
      <c r="D125" s="12" t="inlineStr">
        <is>
          <t>管理者を一般利用者に降格できる</t>
        </is>
      </c>
      <c r="E125" s="12" t="inlineStr">
        <is>
          <t>管理者でログイン。管理者が2人いる</t>
        </is>
      </c>
      <c r="F125" s="12" t="inlineStr">
        <is>
          <t>もう1人の管理者のSC-141で「管理者権限を外す」を押し、確認でOKを押す</t>
        </is>
      </c>
      <c r="G125" s="12" t="inlineStr">
        <is>
          <t>利用者区分が「一般利用者」に変わり、「管理者権限を外す」が消えて「退会させる」が表示される</t>
        </is>
      </c>
      <c r="H125" s="12" t="inlineStr">
        <is>
          <t>対象のusers.role_codeが1になる</t>
        </is>
      </c>
      <c r="I125" s="12" t="inlineStr">
        <is>
          <t>【操作の前と後に実行し、期待結果のとおりであることを確認する】
SELECT id, name, email, role_code, password_hash, anonymized_at, updated_at FROM users ORDER BY id;</t>
        </is>
      </c>
      <c r="J125" s="12" t="inlineStr">
        <is>
          <t>SC-141 イベント処理2</t>
        </is>
      </c>
      <c r="K125" s="12" t="inlineStr">
        <is>
          <t>手動</t>
        </is>
      </c>
      <c r="L125" s="12" t="n"/>
      <c r="M125" s="12" t="inlineStr">
        <is>
          <t>OK</t>
        </is>
      </c>
      <c r="N125" s="23" t="n">
        <v>46309</v>
      </c>
      <c r="O125" s="12" t="inlineStr">
        <is>
          <t>佐々木</t>
        </is>
      </c>
      <c r="P125" s="12" t="n"/>
      <c r="Q125" s="15" t="inlineStr">
        <is>
          <t>45_テストエビデンス_画面結合.xlsx／SC-141</t>
        </is>
      </c>
      <c r="R125" s="12" t="n"/>
      <c r="S125" s="12" t="n"/>
      <c r="T125" s="12" t="n"/>
    </row>
    <row r="126" ht="27" customHeight="1">
      <c r="A126" s="12" t="inlineStr">
        <is>
          <t>IT-SC141-N04</t>
        </is>
      </c>
      <c r="B126" s="12" t="inlineStr">
        <is>
          <t>SC-141 利用者詳細</t>
        </is>
      </c>
      <c r="C126" s="12" t="inlineStr">
        <is>
          <t>正常系</t>
        </is>
      </c>
      <c r="D126" s="12" t="inlineStr">
        <is>
          <t>一般利用者を退会させられる</t>
        </is>
      </c>
      <c r="E126" s="12" t="inlineStr">
        <is>
          <t>管理者でログイン、TD-05</t>
        </is>
      </c>
      <c r="F126" s="12" t="inlineStr">
        <is>
          <t>TD-05の利用者のSC-141で「退会させる」を押し、確認でOKを押す</t>
        </is>
      </c>
      <c r="G126" s="12" t="inlineStr">
        <is>
          <t>名前が「退会済み利用者」に変わり、「退会済み」が表示され、「退会させる」が消える</t>
        </is>
      </c>
      <c r="H126" s="12" t="inlineStr">
        <is>
          <t>対象のusers.anonymized_atに日時が入り、password_hashがNULLになる</t>
        </is>
      </c>
      <c r="I126" s="12" t="inlineStr">
        <is>
          <t>【操作の前と後に実行し、期待結果のとおりであることを確認する】
SELECT id, name, email, role_code, password_hash, anonymized_at, updated_at FROM users ORDER BY id;</t>
        </is>
      </c>
      <c r="J126" s="12" t="inlineStr">
        <is>
          <t>SC-141 イベント処理3</t>
        </is>
      </c>
      <c r="K126" s="12" t="inlineStr">
        <is>
          <t>手動</t>
        </is>
      </c>
      <c r="L126" s="12" t="n"/>
      <c r="M126" s="12" t="inlineStr">
        <is>
          <t>OK</t>
        </is>
      </c>
      <c r="N126" s="23" t="n">
        <v>46309</v>
      </c>
      <c r="O126" s="12" t="inlineStr">
        <is>
          <t>佐々木</t>
        </is>
      </c>
      <c r="P126" s="12" t="inlineStr">
        <is>
          <t>TD-05の利用者（一般ユーザー2）はIT-SC030-N07（本人による退会）で使うため、退会確認用ユーザー（ID=3）で確認した。</t>
        </is>
      </c>
      <c r="Q126" s="15" t="inlineStr">
        <is>
          <t>45_テストエビデンス_画面結合.xlsx／SC-141</t>
        </is>
      </c>
      <c r="R126" s="12" t="n"/>
      <c r="S126" s="12" t="n"/>
      <c r="T126" s="12" t="n"/>
    </row>
    <row r="127" ht="27" customHeight="1">
      <c r="A127" s="12" t="inlineStr">
        <is>
          <t>IT-SC141-E01</t>
        </is>
      </c>
      <c r="B127" s="12" t="inlineStr">
        <is>
          <t>SC-141 利用者詳細</t>
        </is>
      </c>
      <c r="C127" s="12" t="inlineStr">
        <is>
          <t>異常系</t>
        </is>
      </c>
      <c r="D127" s="12" t="inlineStr">
        <is>
          <t>最後の1人の管理者は降格できない</t>
        </is>
      </c>
      <c r="E127" s="12" t="inlineStr">
        <is>
          <t>管理者でログイン。管理者が1人だけ</t>
        </is>
      </c>
      <c r="F127" s="12" t="inlineStr">
        <is>
          <t>自分のSC-141（/admin/users/2）で「管理者権限を外す」を押し、確認でOKを押す</t>
        </is>
      </c>
      <c r="G127" s="12" t="inlineStr">
        <is>
          <t>「最後の管理者は降格できません」が表示される</t>
        </is>
      </c>
      <c r="H127" s="12" t="inlineStr">
        <is>
          <t>ID=2のusers.role_codeは2のまま</t>
        </is>
      </c>
      <c r="I127" s="12" t="inlineStr">
        <is>
          <t>【操作の前と後に実行し、結果が同じことを確認する】
SELECT * FROM users ORDER BY id;</t>
        </is>
      </c>
      <c r="J127" s="12" t="inlineStr">
        <is>
          <t>E-B-020</t>
        </is>
      </c>
      <c r="K127" s="12" t="inlineStr">
        <is>
          <t>手動</t>
        </is>
      </c>
      <c r="L127" s="12" t="n"/>
      <c r="M127" s="12" t="inlineStr">
        <is>
          <t>OK</t>
        </is>
      </c>
      <c r="N127" s="23" t="n">
        <v>46309</v>
      </c>
      <c r="O127" s="12" t="inlineStr">
        <is>
          <t>佐々木</t>
        </is>
      </c>
      <c r="P127" s="12" t="n"/>
      <c r="Q127" s="15" t="inlineStr">
        <is>
          <t>45_テストエビデンス_画面結合.xlsx／SC-141</t>
        </is>
      </c>
      <c r="R127" s="12" t="n"/>
      <c r="S127" s="12" t="n"/>
      <c r="T127" s="12" t="n"/>
    </row>
    <row r="128" ht="13.5" customHeight="1">
      <c r="A128" s="12" t="inlineStr">
        <is>
          <t>IT-SC141-E02</t>
        </is>
      </c>
      <c r="B128" s="12" t="inlineStr">
        <is>
          <t>SC-141 利用者詳細</t>
        </is>
      </c>
      <c r="C128" s="12" t="inlineStr">
        <is>
          <t>異常系</t>
        </is>
      </c>
      <c r="D128" s="12" t="inlineStr">
        <is>
          <t>存在しない利用者の詳細は表示できない</t>
        </is>
      </c>
      <c r="E128" s="12" t="inlineStr">
        <is>
          <t>管理者でログイン</t>
        </is>
      </c>
      <c r="F128" s="12" t="inlineStr">
        <is>
          <t>URL/admin/users/9999を直接開く</t>
        </is>
      </c>
      <c r="G128" s="12" t="inlineStr">
        <is>
          <t>利用者が見つからない旨が表示される</t>
        </is>
      </c>
      <c r="H128" s="12" t="inlineStr">
        <is>
          <t>-（参照のみ）</t>
        </is>
      </c>
      <c r="I128" s="12" t="inlineStr">
        <is>
          <t>-</t>
        </is>
      </c>
      <c r="J128" s="12" t="inlineStr">
        <is>
          <t>SC-141 イベント処理1</t>
        </is>
      </c>
      <c r="K128" s="12" t="inlineStr">
        <is>
          <t>手動</t>
        </is>
      </c>
      <c r="L128" s="12" t="n"/>
      <c r="M128" s="12" t="inlineStr">
        <is>
          <t>OK</t>
        </is>
      </c>
      <c r="N128" s="23" t="n">
        <v>46309</v>
      </c>
      <c r="O128" s="12" t="inlineStr">
        <is>
          <t>佐々木</t>
        </is>
      </c>
      <c r="P128" s="12" t="n"/>
      <c r="Q128" s="15" t="inlineStr">
        <is>
          <t>45_テストエビデンス_画面結合.xlsx／SC-141</t>
        </is>
      </c>
      <c r="R128" s="12" t="n"/>
      <c r="S128" s="12" t="n"/>
      <c r="T128" s="12" t="n"/>
    </row>
    <row r="129" ht="40.5" customHeight="1">
      <c r="A129" s="12" t="inlineStr">
        <is>
          <t>IT-SC150-N01</t>
        </is>
      </c>
      <c r="B129" s="12" t="inlineStr">
        <is>
          <t>SC-150 コメント管理</t>
        </is>
      </c>
      <c r="C129" s="12" t="inlineStr">
        <is>
          <t>正常系</t>
        </is>
      </c>
      <c r="D129" s="12" t="inlineStr">
        <is>
          <t>全イベントの有効なコメントが新しい順に表示される</t>
        </is>
      </c>
      <c r="E129" s="12" t="inlineStr">
        <is>
          <t>管理者でログイン。複数のイベントにコメントがある</t>
        </is>
      </c>
      <c r="F129" s="12" t="inlineStr">
        <is>
          <t>SC-150を開く</t>
        </is>
      </c>
      <c r="G129" s="12" t="inlineStr">
        <is>
          <t>イベント名・投稿者・本文・投稿日時が、投稿日時の新しい順に表示される。論理削除済みのコメントは表示されない</t>
        </is>
      </c>
      <c r="H129" s="12" t="inlineStr">
        <is>
          <t>-（参照のみ）</t>
        </is>
      </c>
      <c r="I129" s="12" t="inlineStr">
        <is>
          <t>-</t>
        </is>
      </c>
      <c r="J129" s="12" t="inlineStr">
        <is>
          <t>SC-150 項目①〜④</t>
        </is>
      </c>
      <c r="K129" s="12" t="inlineStr">
        <is>
          <t>手動</t>
        </is>
      </c>
      <c r="L129" s="12" t="n"/>
      <c r="M129" s="12" t="inlineStr">
        <is>
          <t>OK</t>
        </is>
      </c>
      <c r="N129" s="23" t="n">
        <v>46309</v>
      </c>
      <c r="O129" s="12" t="inlineStr">
        <is>
          <t>佐々木</t>
        </is>
      </c>
      <c r="P129" s="12" t="n"/>
      <c r="Q129" s="15" t="inlineStr">
        <is>
          <t>45_テストエビデンス_画面結合.xlsx／SC-150</t>
        </is>
      </c>
      <c r="R129" s="12" t="n"/>
      <c r="S129" s="12" t="n"/>
      <c r="T129" s="12" t="n"/>
    </row>
    <row r="130" ht="27" customHeight="1">
      <c r="A130" s="12" t="inlineStr">
        <is>
          <t>IT-SC150-N02</t>
        </is>
      </c>
      <c r="B130" s="12" t="inlineStr">
        <is>
          <t>SC-150 コメント管理</t>
        </is>
      </c>
      <c r="C130" s="12" t="inlineStr">
        <is>
          <t>正常系</t>
        </is>
      </c>
      <c r="D130" s="12" t="inlineStr">
        <is>
          <t>コメントを削除できる</t>
        </is>
      </c>
      <c r="E130" s="12" t="inlineStr">
        <is>
          <t>管理者でログイン。返信の無いコメントがある</t>
        </is>
      </c>
      <c r="F130" s="12" t="inlineStr">
        <is>
          <t>そのコメントの「削除」を押し、確認でOKを押す</t>
        </is>
      </c>
      <c r="G130" s="12" t="inlineStr">
        <is>
          <t>コメントが一覧から消える</t>
        </is>
      </c>
      <c r="H130" s="12" t="inlineStr">
        <is>
          <t>event_commentsの該当の行が削除される</t>
        </is>
      </c>
      <c r="I130" s="12" t="inlineStr">
        <is>
          <t>【操作の前と後に実行し、期待結果のとおりであることを確認する】
SELECT id, event_id, user_id, parent_comment_id, body, deleted_at, updated_at FROM event_comments ORDER BY id;</t>
        </is>
      </c>
      <c r="J130" s="12" t="inlineStr">
        <is>
          <t>SC-150 イベント処理2</t>
        </is>
      </c>
      <c r="K130" s="12" t="inlineStr">
        <is>
          <t>手動</t>
        </is>
      </c>
      <c r="L130" s="12" t="n"/>
      <c r="M130" s="12" t="inlineStr">
        <is>
          <t>OK</t>
        </is>
      </c>
      <c r="N130" s="23" t="n">
        <v>46309</v>
      </c>
      <c r="O130" s="12" t="inlineStr">
        <is>
          <t>佐々木</t>
        </is>
      </c>
      <c r="P130" s="12" t="n"/>
      <c r="Q130" s="15" t="inlineStr">
        <is>
          <t>45_テストエビデンス_画面結合.xlsx／SC-150</t>
        </is>
      </c>
      <c r="R130" s="12" t="n"/>
      <c r="S130" s="12" t="n"/>
      <c r="T130" s="12" t="n"/>
    </row>
    <row r="131" ht="27" customHeight="1">
      <c r="A131" s="12" t="inlineStr">
        <is>
          <t>IT-SC900-N01</t>
        </is>
      </c>
      <c r="B131" s="12" t="inlineStr">
        <is>
          <t>SC-900 該当ページなし</t>
        </is>
      </c>
      <c r="C131" s="12" t="inlineStr">
        <is>
          <t>正常系</t>
        </is>
      </c>
      <c r="D131" s="12" t="inlineStr">
        <is>
          <t>定義されていないURLでは「該当ページなし」が表示される</t>
        </is>
      </c>
      <c r="E131" s="12" t="inlineStr">
        <is>
          <t>一般ユーザーでログイン</t>
        </is>
      </c>
      <c r="F131" s="12" t="inlineStr">
        <is>
          <t>URL/xyzを直接開く</t>
        </is>
      </c>
      <c r="G131" s="12" t="inlineStr">
        <is>
          <t>「404」と「お探しのページは見つかりませんでした。」が表示される</t>
        </is>
      </c>
      <c r="H131" s="12" t="inlineStr">
        <is>
          <t>-（参照のみ）</t>
        </is>
      </c>
      <c r="I131" s="12" t="inlineStr">
        <is>
          <t>-</t>
        </is>
      </c>
      <c r="J131" s="12" t="inlineStr">
        <is>
          <t>SC-900 項目①②</t>
        </is>
      </c>
      <c r="K131" s="12" t="inlineStr">
        <is>
          <t>手動</t>
        </is>
      </c>
      <c r="L131" s="12" t="n"/>
      <c r="M131" s="12" t="inlineStr">
        <is>
          <t>OK</t>
        </is>
      </c>
      <c r="N131" s="23" t="n">
        <v>46309</v>
      </c>
      <c r="O131" s="12" t="inlineStr">
        <is>
          <t>佐々木</t>
        </is>
      </c>
      <c r="P131" s="12" t="n"/>
      <c r="Q131" s="15" t="inlineStr">
        <is>
          <t>45_テストエビデンス_画面結合.xlsx／SC-900</t>
        </is>
      </c>
      <c r="R131" s="12" t="n"/>
      <c r="S131" s="12" t="n"/>
      <c r="T131" s="12" t="n"/>
    </row>
    <row r="132" ht="27" customHeight="1">
      <c r="A132" s="12" t="inlineStr">
        <is>
          <t>IT-SC900-N02</t>
        </is>
      </c>
      <c r="B132" s="12" t="inlineStr">
        <is>
          <t>SC-900 該当ページなし</t>
        </is>
      </c>
      <c r="C132" s="12" t="inlineStr">
        <is>
          <t>正常系</t>
        </is>
      </c>
      <c r="D132" s="12" t="inlineStr">
        <is>
          <t>「イベント一覧に戻る」でイベント一覧へ遷移する</t>
        </is>
      </c>
      <c r="E132" s="12" t="inlineStr">
        <is>
          <t>一般ユーザーでログイン。SC-900を表示中</t>
        </is>
      </c>
      <c r="F132" s="12" t="inlineStr">
        <is>
          <t>「イベント一覧に戻る」を押す</t>
        </is>
      </c>
      <c r="G132" s="12" t="inlineStr">
        <is>
          <t>SC-020へ遷移する</t>
        </is>
      </c>
      <c r="H132" s="12" t="inlineStr">
        <is>
          <t>-（参照のみ）</t>
        </is>
      </c>
      <c r="I132" s="12" t="inlineStr">
        <is>
          <t>-</t>
        </is>
      </c>
      <c r="J132" s="12" t="inlineStr">
        <is>
          <t>SC-900 イベント処理2</t>
        </is>
      </c>
      <c r="K132" s="12" t="inlineStr">
        <is>
          <t>手動</t>
        </is>
      </c>
      <c r="L132" s="12" t="n"/>
      <c r="M132" s="12" t="inlineStr">
        <is>
          <t>OK</t>
        </is>
      </c>
      <c r="N132" s="23" t="n">
        <v>46309</v>
      </c>
      <c r="O132" s="12" t="inlineStr">
        <is>
          <t>佐々木</t>
        </is>
      </c>
      <c r="P132" s="12" t="n"/>
      <c r="Q132" s="15" t="inlineStr">
        <is>
          <t>45_テストエビデンス_画面結合.xlsx／SC-900</t>
        </is>
      </c>
      <c r="R132" s="12" t="n"/>
      <c r="S132" s="12" t="n"/>
      <c r="T132" s="12" t="n"/>
    </row>
    <row r="133" ht="13.5" customHeight="1">
      <c r="A133" s="12" t="inlineStr">
        <is>
          <t>IT-SC900-N03</t>
        </is>
      </c>
      <c r="B133" s="12" t="inlineStr">
        <is>
          <t>SC-900 該当ページなし</t>
        </is>
      </c>
      <c r="C133" s="12" t="inlineStr">
        <is>
          <t>正常系</t>
        </is>
      </c>
      <c r="D133" s="12" t="inlineStr">
        <is>
          <t>未ログインでも「該当ページなし」が表示される</t>
        </is>
      </c>
      <c r="E133" s="12" t="inlineStr">
        <is>
          <t>未ログイン</t>
        </is>
      </c>
      <c r="F133" s="12" t="inlineStr">
        <is>
          <t>URL/xyzを直接開く</t>
        </is>
      </c>
      <c r="G133" s="12" t="inlineStr">
        <is>
          <t>SC-900が表示される（SC-010へは遷移しない）</t>
        </is>
      </c>
      <c r="H133" s="12" t="inlineStr">
        <is>
          <t>-（参照のみ）</t>
        </is>
      </c>
      <c r="I133" s="12" t="inlineStr">
        <is>
          <t>-</t>
        </is>
      </c>
      <c r="J133" s="12" t="inlineStr">
        <is>
          <t>20_機能設計書 4.3</t>
        </is>
      </c>
      <c r="K133" s="12" t="inlineStr">
        <is>
          <t>手動</t>
        </is>
      </c>
      <c r="L133" s="12" t="n"/>
      <c r="M133" s="12" t="inlineStr">
        <is>
          <t>OK</t>
        </is>
      </c>
      <c r="N133" s="23" t="n">
        <v>46309</v>
      </c>
      <c r="O133" s="12" t="inlineStr">
        <is>
          <t>佐々木</t>
        </is>
      </c>
      <c r="P133" s="12" t="n"/>
      <c r="Q133" s="15" t="inlineStr">
        <is>
          <t>45_テストエビデンス_画面結合.xlsx／SC-900</t>
        </is>
      </c>
      <c r="R133" s="12" t="n"/>
      <c r="S133" s="12" t="n"/>
      <c r="T133" s="12" t="n"/>
    </row>
  </sheetData>
  <autoFilter ref="A1:T133"/>
  <conditionalFormatting sqref="M2:M133">
    <cfRule type="cellIs" priority="1" operator="equal" dxfId="3">
      <formula>"OK"</formula>
    </cfRule>
    <cfRule type="cellIs" priority="2" operator="equal" dxfId="2">
      <formula>"NG"</formula>
    </cfRule>
    <cfRule type="cellIs" priority="3" operator="equal" dxfId="1">
      <formula>"保留"</formula>
    </cfRule>
    <cfRule type="cellIs" priority="4" operator="equal" dxfId="0">
      <formula>"対象外"</formula>
    </cfRule>
  </conditionalFormatting>
  <conditionalFormatting sqref="S2:S133">
    <cfRule type="cellIs" priority="5" operator="equal" dxfId="3">
      <formula>"OK"</formula>
    </cfRule>
    <cfRule type="cellIs" priority="6" operator="equal" dxfId="2">
      <formula>"NG"</formula>
    </cfRule>
    <cfRule type="cellIs" priority="7" operator="equal" dxfId="1">
      <formula>"保留"</formula>
    </cfRule>
    <cfRule type="cellIs" priority="8" operator="equal" dxfId="0">
      <formula>"対象外"</formula>
    </cfRule>
  </conditionalFormatting>
  <dataValidations count="2">
    <dataValidation sqref="M2:M133" showDropDown="0" showInputMessage="0" showErrorMessage="0" allowBlank="1" type="list">
      <formula1>"OK,NG,保留,対象外"</formula1>
    </dataValidation>
    <dataValidation sqref="S2:S133" showDropDown="0" showInputMessage="0" showErrorMessage="0" allowBlank="1" type="list">
      <formula1>"OK,NG"</formula1>
    </dataValidation>
  </dataValidations>
  <hyperlinks>
    <hyperlink xmlns:r="http://schemas.openxmlformats.org/officeDocument/2006/relationships" ref="Q2" location="'共通'!A4" r:id="rId1"/>
    <hyperlink xmlns:r="http://schemas.openxmlformats.org/officeDocument/2006/relationships" ref="Q3" location="'共通'!A43" r:id="rId2"/>
    <hyperlink xmlns:r="http://schemas.openxmlformats.org/officeDocument/2006/relationships" ref="Q4" location="'共通'!A82" r:id="rId3"/>
    <hyperlink xmlns:r="http://schemas.openxmlformats.org/officeDocument/2006/relationships" ref="Q5" location="'共通'!A121" r:id="rId4"/>
    <hyperlink xmlns:r="http://schemas.openxmlformats.org/officeDocument/2006/relationships" ref="Q6" location="'共通'!A160" r:id="rId5"/>
    <hyperlink xmlns:r="http://schemas.openxmlformats.org/officeDocument/2006/relationships" ref="Q7" location="'共通'!A199" r:id="rId6"/>
    <hyperlink xmlns:r="http://schemas.openxmlformats.org/officeDocument/2006/relationships" ref="Q8" location="'共通'!A238" r:id="rId7"/>
    <hyperlink xmlns:r="http://schemas.openxmlformats.org/officeDocument/2006/relationships" ref="Q9" location="'共通'!A277" r:id="rId8"/>
    <hyperlink xmlns:r="http://schemas.openxmlformats.org/officeDocument/2006/relationships" ref="Q10" location="'SC-010'!A4" r:id="rId9"/>
    <hyperlink xmlns:r="http://schemas.openxmlformats.org/officeDocument/2006/relationships" ref="Q11" location="'SC-010'!A43" r:id="rId10"/>
    <hyperlink xmlns:r="http://schemas.openxmlformats.org/officeDocument/2006/relationships" ref="Q12" location="'SC-010'!A82" r:id="rId11"/>
    <hyperlink xmlns:r="http://schemas.openxmlformats.org/officeDocument/2006/relationships" ref="Q13" location="'SC-010'!A121" r:id="rId12"/>
    <hyperlink xmlns:r="http://schemas.openxmlformats.org/officeDocument/2006/relationships" ref="Q14" location="'SC-010'!A179" r:id="rId13"/>
    <hyperlink xmlns:r="http://schemas.openxmlformats.org/officeDocument/2006/relationships" ref="Q15" location="'SC-010'!A218" r:id="rId14"/>
    <hyperlink xmlns:r="http://schemas.openxmlformats.org/officeDocument/2006/relationships" ref="Q16" location="'SC-010'!A257" r:id="rId15"/>
    <hyperlink xmlns:r="http://schemas.openxmlformats.org/officeDocument/2006/relationships" ref="Q17" location="'SC-010'!A296" r:id="rId16"/>
    <hyperlink xmlns:r="http://schemas.openxmlformats.org/officeDocument/2006/relationships" ref="Q18" location="'SC-010'!A335" r:id="rId17"/>
    <hyperlink xmlns:r="http://schemas.openxmlformats.org/officeDocument/2006/relationships" ref="Q19" location="'SC-010'!A393" r:id="rId18"/>
    <hyperlink xmlns:r="http://schemas.openxmlformats.org/officeDocument/2006/relationships" ref="Q20" location="'SC-011'!A4" r:id="rId19"/>
    <hyperlink xmlns:r="http://schemas.openxmlformats.org/officeDocument/2006/relationships" ref="Q21" location="'SC-011'!A62" r:id="rId20"/>
    <hyperlink xmlns:r="http://schemas.openxmlformats.org/officeDocument/2006/relationships" ref="Q22" location="'SC-011'!A101" r:id="rId21"/>
    <hyperlink xmlns:r="http://schemas.openxmlformats.org/officeDocument/2006/relationships" ref="Q23" location="'SC-011'!A140" r:id="rId22"/>
    <hyperlink xmlns:r="http://schemas.openxmlformats.org/officeDocument/2006/relationships" ref="Q24" location="'SC-011'!A198" r:id="rId23"/>
    <hyperlink xmlns:r="http://schemas.openxmlformats.org/officeDocument/2006/relationships" ref="Q25" location="'SC-011'!A256" r:id="rId24"/>
    <hyperlink xmlns:r="http://schemas.openxmlformats.org/officeDocument/2006/relationships" ref="Q26" location="'SC-011'!A314" r:id="rId25"/>
    <hyperlink xmlns:r="http://schemas.openxmlformats.org/officeDocument/2006/relationships" ref="Q27" location="'SC-020'!A4" r:id="rId26"/>
    <hyperlink xmlns:r="http://schemas.openxmlformats.org/officeDocument/2006/relationships" ref="Q28" location="'SC-020'!A43" r:id="rId27"/>
    <hyperlink xmlns:r="http://schemas.openxmlformats.org/officeDocument/2006/relationships" ref="Q29" location="'SC-020'!A82" r:id="rId28"/>
    <hyperlink xmlns:r="http://schemas.openxmlformats.org/officeDocument/2006/relationships" ref="Q30" location="'SC-020'!A121" r:id="rId29"/>
    <hyperlink xmlns:r="http://schemas.openxmlformats.org/officeDocument/2006/relationships" ref="Q31" location="'SC-020'!A160" r:id="rId30"/>
    <hyperlink xmlns:r="http://schemas.openxmlformats.org/officeDocument/2006/relationships" ref="Q32" location="'SC-020'!A199" r:id="rId31"/>
    <hyperlink xmlns:r="http://schemas.openxmlformats.org/officeDocument/2006/relationships" ref="Q33" location="'SC-020'!A238" r:id="rId32"/>
    <hyperlink xmlns:r="http://schemas.openxmlformats.org/officeDocument/2006/relationships" ref="Q34" location="'SC-020'!A277" r:id="rId33"/>
    <hyperlink xmlns:r="http://schemas.openxmlformats.org/officeDocument/2006/relationships" ref="Q35" location="'SC-020'!A316" r:id="rId34"/>
    <hyperlink xmlns:r="http://schemas.openxmlformats.org/officeDocument/2006/relationships" ref="Q36" location="'SC-020'!A355" r:id="rId35"/>
    <hyperlink xmlns:r="http://schemas.openxmlformats.org/officeDocument/2006/relationships" ref="Q37" location="'SC-020'!A394" r:id="rId36"/>
    <hyperlink xmlns:r="http://schemas.openxmlformats.org/officeDocument/2006/relationships" ref="Q38" location="'SC-020'!A452" r:id="rId37"/>
    <hyperlink xmlns:r="http://schemas.openxmlformats.org/officeDocument/2006/relationships" ref="Q39" location="'SC-020'!A510" r:id="rId38"/>
    <hyperlink xmlns:r="http://schemas.openxmlformats.org/officeDocument/2006/relationships" ref="Q40" location="'SC-020'!A549" r:id="rId39"/>
    <hyperlink xmlns:r="http://schemas.openxmlformats.org/officeDocument/2006/relationships" ref="Q41" location="'SC-020'!A607" r:id="rId40"/>
    <hyperlink xmlns:r="http://schemas.openxmlformats.org/officeDocument/2006/relationships" ref="Q42" location="'SC-020'!A646" r:id="rId41"/>
    <hyperlink xmlns:r="http://schemas.openxmlformats.org/officeDocument/2006/relationships" ref="Q43" location="'SC-020'!A704" r:id="rId42"/>
    <hyperlink xmlns:r="http://schemas.openxmlformats.org/officeDocument/2006/relationships" ref="Q44" location="'SC-021'!A4" r:id="rId43"/>
    <hyperlink xmlns:r="http://schemas.openxmlformats.org/officeDocument/2006/relationships" ref="Q45" location="'SC-021'!A43" r:id="rId44"/>
    <hyperlink xmlns:r="http://schemas.openxmlformats.org/officeDocument/2006/relationships" ref="Q46" location="'SC-021'!A82" r:id="rId45"/>
    <hyperlink xmlns:r="http://schemas.openxmlformats.org/officeDocument/2006/relationships" ref="Q47" location="'SC-021'!A121" r:id="rId46"/>
    <hyperlink xmlns:r="http://schemas.openxmlformats.org/officeDocument/2006/relationships" ref="Q48" location="'SC-021'!A160" r:id="rId47"/>
    <hyperlink xmlns:r="http://schemas.openxmlformats.org/officeDocument/2006/relationships" ref="Q49" location="'SC-021'!A199" r:id="rId48"/>
    <hyperlink xmlns:r="http://schemas.openxmlformats.org/officeDocument/2006/relationships" ref="Q50" location="'SC-021'!A238" r:id="rId49"/>
    <hyperlink xmlns:r="http://schemas.openxmlformats.org/officeDocument/2006/relationships" ref="Q51" location="'SC-021'!A277" r:id="rId50"/>
    <hyperlink xmlns:r="http://schemas.openxmlformats.org/officeDocument/2006/relationships" ref="Q52" location="'SC-021'!A316" r:id="rId51"/>
    <hyperlink xmlns:r="http://schemas.openxmlformats.org/officeDocument/2006/relationships" ref="Q53" location="'SC-021'!A355" r:id="rId52"/>
    <hyperlink xmlns:r="http://schemas.openxmlformats.org/officeDocument/2006/relationships" ref="Q54" location="'SC-021'!A394" r:id="rId53"/>
    <hyperlink xmlns:r="http://schemas.openxmlformats.org/officeDocument/2006/relationships" ref="Q55" location="'SC-022'!A4" r:id="rId54"/>
    <hyperlink xmlns:r="http://schemas.openxmlformats.org/officeDocument/2006/relationships" ref="Q56" location="'SC-022'!A43" r:id="rId55"/>
    <hyperlink xmlns:r="http://schemas.openxmlformats.org/officeDocument/2006/relationships" ref="Q57" location="'SC-022'!A101" r:id="rId56"/>
    <hyperlink xmlns:r="http://schemas.openxmlformats.org/officeDocument/2006/relationships" ref="Q58" location="'SC-022'!A140" r:id="rId57"/>
    <hyperlink xmlns:r="http://schemas.openxmlformats.org/officeDocument/2006/relationships" ref="Q59" location="'SC-022'!A198" r:id="rId58"/>
    <hyperlink xmlns:r="http://schemas.openxmlformats.org/officeDocument/2006/relationships" ref="Q60" location="'SC-022'!A256" r:id="rId59"/>
    <hyperlink xmlns:r="http://schemas.openxmlformats.org/officeDocument/2006/relationships" ref="Q61" location="'SC-022'!A314" r:id="rId60"/>
    <hyperlink xmlns:r="http://schemas.openxmlformats.org/officeDocument/2006/relationships" ref="Q62" location="'SC-022'!A372" r:id="rId61"/>
    <hyperlink xmlns:r="http://schemas.openxmlformats.org/officeDocument/2006/relationships" ref="Q63" location="'SC-022'!A430" r:id="rId62"/>
    <hyperlink xmlns:r="http://schemas.openxmlformats.org/officeDocument/2006/relationships" ref="Q64" location="'SC-022'!A469" r:id="rId63"/>
    <hyperlink xmlns:r="http://schemas.openxmlformats.org/officeDocument/2006/relationships" ref="Q65" location="'SC-022'!A527" r:id="rId64"/>
    <hyperlink xmlns:r="http://schemas.openxmlformats.org/officeDocument/2006/relationships" ref="Q66" location="'SC-022'!A585" r:id="rId65"/>
    <hyperlink xmlns:r="http://schemas.openxmlformats.org/officeDocument/2006/relationships" ref="Q67" location="'SC-022'!A643" r:id="rId66"/>
    <hyperlink xmlns:r="http://schemas.openxmlformats.org/officeDocument/2006/relationships" ref="Q68" location="'SC-022'!A682" r:id="rId67"/>
    <hyperlink xmlns:r="http://schemas.openxmlformats.org/officeDocument/2006/relationships" ref="Q69" location="'SC-022'!A721" r:id="rId68"/>
    <hyperlink xmlns:r="http://schemas.openxmlformats.org/officeDocument/2006/relationships" ref="Q70" location="'SC-023'!A4" r:id="rId69"/>
    <hyperlink xmlns:r="http://schemas.openxmlformats.org/officeDocument/2006/relationships" ref="Q71" location="'SC-023'!A62" r:id="rId70"/>
    <hyperlink xmlns:r="http://schemas.openxmlformats.org/officeDocument/2006/relationships" ref="Q72" location="'SC-023'!A120" r:id="rId71"/>
    <hyperlink xmlns:r="http://schemas.openxmlformats.org/officeDocument/2006/relationships" ref="Q73" location="'SC-023'!A159" r:id="rId72"/>
    <hyperlink xmlns:r="http://schemas.openxmlformats.org/officeDocument/2006/relationships" ref="Q74" location="'SC-023'!A198" r:id="rId73"/>
    <hyperlink xmlns:r="http://schemas.openxmlformats.org/officeDocument/2006/relationships" ref="Q75" location="'SC-030'!A4" r:id="rId74"/>
    <hyperlink xmlns:r="http://schemas.openxmlformats.org/officeDocument/2006/relationships" ref="Q76" location="'SC-030'!A43" r:id="rId75"/>
    <hyperlink xmlns:r="http://schemas.openxmlformats.org/officeDocument/2006/relationships" ref="Q77" location="'SC-030'!A82" r:id="rId76"/>
    <hyperlink xmlns:r="http://schemas.openxmlformats.org/officeDocument/2006/relationships" ref="Q78" location="'SC-030'!A140" r:id="rId77"/>
    <hyperlink xmlns:r="http://schemas.openxmlformats.org/officeDocument/2006/relationships" ref="Q79" location="'SC-030'!A198" r:id="rId78"/>
    <hyperlink xmlns:r="http://schemas.openxmlformats.org/officeDocument/2006/relationships" ref="Q80" location="'SC-030'!A237" r:id="rId79"/>
    <hyperlink xmlns:r="http://schemas.openxmlformats.org/officeDocument/2006/relationships" ref="Q81" location="'SC-030'!A295" r:id="rId80"/>
    <hyperlink xmlns:r="http://schemas.openxmlformats.org/officeDocument/2006/relationships" ref="Q82" location="'SC-030'!A353" r:id="rId81"/>
    <hyperlink xmlns:r="http://schemas.openxmlformats.org/officeDocument/2006/relationships" ref="Q83" location="'SC-110'!A4" r:id="rId82"/>
    <hyperlink xmlns:r="http://schemas.openxmlformats.org/officeDocument/2006/relationships" ref="Q84" location="'SC-110'!A43" r:id="rId83"/>
    <hyperlink xmlns:r="http://schemas.openxmlformats.org/officeDocument/2006/relationships" ref="Q85" location="'SC-110'!A82" r:id="rId84"/>
    <hyperlink xmlns:r="http://schemas.openxmlformats.org/officeDocument/2006/relationships" ref="Q86" location="'SC-110'!A121" r:id="rId85"/>
    <hyperlink xmlns:r="http://schemas.openxmlformats.org/officeDocument/2006/relationships" ref="Q87" location="'SC-110'!A160" r:id="rId86"/>
    <hyperlink xmlns:r="http://schemas.openxmlformats.org/officeDocument/2006/relationships" ref="Q88" location="'SC-120'!A4" r:id="rId87"/>
    <hyperlink xmlns:r="http://schemas.openxmlformats.org/officeDocument/2006/relationships" ref="Q89" location="'SC-120'!A43" r:id="rId88"/>
    <hyperlink xmlns:r="http://schemas.openxmlformats.org/officeDocument/2006/relationships" ref="Q90" location="'SC-120'!A101" r:id="rId89"/>
    <hyperlink xmlns:r="http://schemas.openxmlformats.org/officeDocument/2006/relationships" ref="Q91" location="'SC-120'!A159" r:id="rId90"/>
    <hyperlink xmlns:r="http://schemas.openxmlformats.org/officeDocument/2006/relationships" ref="Q92" location="'SC-120'!A198" r:id="rId91"/>
    <hyperlink xmlns:r="http://schemas.openxmlformats.org/officeDocument/2006/relationships" ref="Q93" location="'SC-120'!A237" r:id="rId92"/>
    <hyperlink xmlns:r="http://schemas.openxmlformats.org/officeDocument/2006/relationships" ref="Q94" location="'SC-121'!A4" r:id="rId93"/>
    <hyperlink xmlns:r="http://schemas.openxmlformats.org/officeDocument/2006/relationships" ref="Q95" location="'SC-121'!A62" r:id="rId94"/>
    <hyperlink xmlns:r="http://schemas.openxmlformats.org/officeDocument/2006/relationships" ref="Q96" location="'SC-121'!A101" r:id="rId95"/>
    <hyperlink xmlns:r="http://schemas.openxmlformats.org/officeDocument/2006/relationships" ref="Q97" location="'SC-121'!A159" r:id="rId96"/>
    <hyperlink xmlns:r="http://schemas.openxmlformats.org/officeDocument/2006/relationships" ref="Q98" location="'SC-121'!A198" r:id="rId97"/>
    <hyperlink xmlns:r="http://schemas.openxmlformats.org/officeDocument/2006/relationships" ref="Q99" location="'SC-121'!A256" r:id="rId98"/>
    <hyperlink xmlns:r="http://schemas.openxmlformats.org/officeDocument/2006/relationships" ref="Q100" location="'SC-121'!A295" r:id="rId99"/>
    <hyperlink xmlns:r="http://schemas.openxmlformats.org/officeDocument/2006/relationships" ref="Q101" location="'SC-121'!A353" r:id="rId100"/>
    <hyperlink xmlns:r="http://schemas.openxmlformats.org/officeDocument/2006/relationships" ref="Q102" location="'SC-121'!A411" r:id="rId101"/>
    <hyperlink xmlns:r="http://schemas.openxmlformats.org/officeDocument/2006/relationships" ref="Q103" location="'SC-121'!A469" r:id="rId102"/>
    <hyperlink xmlns:r="http://schemas.openxmlformats.org/officeDocument/2006/relationships" ref="Q104" location="'SC-122'!A4" r:id="rId103"/>
    <hyperlink xmlns:r="http://schemas.openxmlformats.org/officeDocument/2006/relationships" ref="Q105" location="'SC-122'!A43" r:id="rId104"/>
    <hyperlink xmlns:r="http://schemas.openxmlformats.org/officeDocument/2006/relationships" ref="Q106" location="'SC-122'!A101" r:id="rId105"/>
    <hyperlink xmlns:r="http://schemas.openxmlformats.org/officeDocument/2006/relationships" ref="Q107" location="'SC-123'!A4" r:id="rId106"/>
    <hyperlink xmlns:r="http://schemas.openxmlformats.org/officeDocument/2006/relationships" ref="Q108" location="'SC-123'!A43" r:id="rId107"/>
    <hyperlink xmlns:r="http://schemas.openxmlformats.org/officeDocument/2006/relationships" ref="Q109" location="'SC-123'!A82" r:id="rId108"/>
    <hyperlink xmlns:r="http://schemas.openxmlformats.org/officeDocument/2006/relationships" ref="Q110" location="'SC-123'!A140" r:id="rId109"/>
    <hyperlink xmlns:r="http://schemas.openxmlformats.org/officeDocument/2006/relationships" ref="Q111" location="'SC-123'!A198" r:id="rId110"/>
    <hyperlink xmlns:r="http://schemas.openxmlformats.org/officeDocument/2006/relationships" ref="Q112" location="'SC-123'!A256" r:id="rId111"/>
    <hyperlink xmlns:r="http://schemas.openxmlformats.org/officeDocument/2006/relationships" ref="Q113" location="'SC-130'!A4" r:id="rId112"/>
    <hyperlink xmlns:r="http://schemas.openxmlformats.org/officeDocument/2006/relationships" ref="Q114" location="'SC-130'!A43" r:id="rId113"/>
    <hyperlink xmlns:r="http://schemas.openxmlformats.org/officeDocument/2006/relationships" ref="Q115" location="'SC-130'!A82" r:id="rId114"/>
    <hyperlink xmlns:r="http://schemas.openxmlformats.org/officeDocument/2006/relationships" ref="Q116" location="'SC-140'!A4" r:id="rId115"/>
    <hyperlink xmlns:r="http://schemas.openxmlformats.org/officeDocument/2006/relationships" ref="Q117" location="'SC-140'!A43" r:id="rId116"/>
    <hyperlink xmlns:r="http://schemas.openxmlformats.org/officeDocument/2006/relationships" ref="Q118" location="'SC-140'!A82" r:id="rId117"/>
    <hyperlink xmlns:r="http://schemas.openxmlformats.org/officeDocument/2006/relationships" ref="Q119" location="'SC-140'!A140" r:id="rId118"/>
    <hyperlink xmlns:r="http://schemas.openxmlformats.org/officeDocument/2006/relationships" ref="Q120" location="'SC-140'!A179" r:id="rId119"/>
    <hyperlink xmlns:r="http://schemas.openxmlformats.org/officeDocument/2006/relationships" ref="Q121" location="'SC-140'!A218" r:id="rId120"/>
    <hyperlink xmlns:r="http://schemas.openxmlformats.org/officeDocument/2006/relationships" ref="Q122" location="'SC-140'!A276" r:id="rId121"/>
    <hyperlink xmlns:r="http://schemas.openxmlformats.org/officeDocument/2006/relationships" ref="Q123" location="'SC-141'!A4" r:id="rId122"/>
    <hyperlink xmlns:r="http://schemas.openxmlformats.org/officeDocument/2006/relationships" ref="Q124" location="'SC-141'!A43" r:id="rId123"/>
    <hyperlink xmlns:r="http://schemas.openxmlformats.org/officeDocument/2006/relationships" ref="Q125" location="'SC-141'!A82" r:id="rId124"/>
    <hyperlink xmlns:r="http://schemas.openxmlformats.org/officeDocument/2006/relationships" ref="Q126" location="'SC-141'!A140" r:id="rId125"/>
    <hyperlink xmlns:r="http://schemas.openxmlformats.org/officeDocument/2006/relationships" ref="Q127" location="'SC-141'!A198" r:id="rId126"/>
    <hyperlink xmlns:r="http://schemas.openxmlformats.org/officeDocument/2006/relationships" ref="Q128" location="'SC-141'!A256" r:id="rId127"/>
    <hyperlink xmlns:r="http://schemas.openxmlformats.org/officeDocument/2006/relationships" ref="Q129" location="'SC-150'!A4" r:id="rId128"/>
    <hyperlink xmlns:r="http://schemas.openxmlformats.org/officeDocument/2006/relationships" ref="Q130" location="'SC-150'!A43" r:id="rId129"/>
    <hyperlink xmlns:r="http://schemas.openxmlformats.org/officeDocument/2006/relationships" ref="Q131" location="'SC-900'!A4" r:id="rId130"/>
    <hyperlink xmlns:r="http://schemas.openxmlformats.org/officeDocument/2006/relationships" ref="Q132" location="'SC-900'!A43" r:id="rId131"/>
    <hyperlink xmlns:r="http://schemas.openxmlformats.org/officeDocument/2006/relationships" ref="Q133" location="'SC-900'!A82" r:id="rId1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95"/>
  <sheetViews>
    <sheetView workbookViewId="0">
      <pane xSplit="3" ySplit="1" topLeftCell="J74" activePane="bottomRight" state="frozen"/>
      <selection pane="topRight" activeCell="A1" sqref="A1"/>
      <selection pane="bottomLeft" activeCell="A1" sqref="A1"/>
      <selection pane="bottomRight" activeCell="A1" sqref="A1"/>
    </sheetView>
  </sheetViews>
  <sheetFormatPr baseColWidth="8" defaultRowHeight="13"/>
  <cols>
    <col width="14" customWidth="1" min="1" max="1"/>
    <col width="22" customWidth="1" min="2" max="2"/>
    <col width="8" customWidth="1" min="3" max="3"/>
    <col width="34" customWidth="1" min="4" max="4"/>
    <col width="26" customWidth="1" min="5" max="5"/>
    <col width="36" customWidth="1" min="6" max="6"/>
    <col width="40" customWidth="1" min="7" max="7"/>
    <col width="36" customWidth="1" min="8" max="8"/>
    <col width="52" customWidth="1" min="9" max="9"/>
    <col width="20" customWidth="1" min="10" max="10"/>
    <col width="9" customWidth="1" min="11" max="11"/>
    <col width="30" customWidth="1" min="12" max="12"/>
    <col width="7" customWidth="1" min="13" max="13"/>
    <col width="11" customWidth="1" min="14" max="14"/>
    <col width="14" customWidth="1" min="15" max="15"/>
    <col width="30" customWidth="1" min="16" max="17"/>
    <col width="10" customWidth="1" min="18" max="18"/>
    <col width="13" customWidth="1" min="19" max="19"/>
    <col width="11" customWidth="1" min="20" max="20"/>
  </cols>
  <sheetData>
    <row r="1" ht="27" customHeight="1">
      <c r="A1" s="10" t="inlineStr">
        <is>
          <t>ID</t>
        </is>
      </c>
      <c r="B1" s="10" t="inlineStr">
        <is>
          <t>対象</t>
        </is>
      </c>
      <c r="C1" s="10" t="inlineStr">
        <is>
          <t>区分</t>
        </is>
      </c>
      <c r="D1" s="10" t="inlineStr">
        <is>
          <t>確認する内容</t>
        </is>
      </c>
      <c r="E1" s="10" t="inlineStr">
        <is>
          <t>前提</t>
        </is>
      </c>
      <c r="F1" s="10" t="inlineStr">
        <is>
          <t>操作・入力</t>
        </is>
      </c>
      <c r="G1" s="10" t="inlineStr">
        <is>
          <t>期待結果</t>
        </is>
      </c>
      <c r="H1" s="10" t="inlineStr">
        <is>
          <t>期待結果（データベース）</t>
        </is>
      </c>
      <c r="I1" s="10" t="inlineStr">
        <is>
          <t>確認SQL</t>
        </is>
      </c>
      <c r="J1" s="10" t="inlineStr">
        <is>
          <t>根拠</t>
        </is>
      </c>
      <c r="K1" s="10" t="inlineStr">
        <is>
          <t>実施方法</t>
        </is>
      </c>
      <c r="L1" s="10" t="inlineStr">
        <is>
          <t>自動テスト</t>
        </is>
      </c>
      <c r="M1" s="11" t="inlineStr">
        <is>
          <t>結果</t>
        </is>
      </c>
      <c r="N1" s="11" t="inlineStr">
        <is>
          <t>実施日</t>
        </is>
      </c>
      <c r="O1" s="11" t="inlineStr">
        <is>
          <t>実施者</t>
        </is>
      </c>
      <c r="P1" s="11" t="inlineStr">
        <is>
          <t>実際の結果・備考</t>
        </is>
      </c>
      <c r="Q1" s="11" t="inlineStr">
        <is>
          <t>証跡</t>
        </is>
      </c>
      <c r="R1" s="11" t="inlineStr">
        <is>
          <t>不具合Issue</t>
        </is>
      </c>
      <c r="S1" s="11" t="inlineStr">
        <is>
          <t>再テスト結果</t>
        </is>
      </c>
      <c r="T1" s="11" t="inlineStr">
        <is>
          <t>再テスト日</t>
        </is>
      </c>
    </row>
    <row r="2" ht="40.5" customHeight="1">
      <c r="A2" s="12" t="inlineStr">
        <is>
          <t>ST-01-01</t>
        </is>
      </c>
      <c r="B2" s="12" t="inlineStr">
        <is>
          <t>ST-01 一般利用者がイベントを探し、申し込み、参加をやめる</t>
        </is>
      </c>
      <c r="C2" s="12" t="inlineStr">
        <is>
          <t>正常系</t>
        </is>
      </c>
      <c r="D2" s="12" t="inlineStr">
        <is>
          <t>ST-01 一般利用者がイベントを探し、申し込み、参加をやめる</t>
        </is>
      </c>
      <c r="E2" s="12" t="inlineStr">
        <is>
          <t>前のステップの結果</t>
        </is>
      </c>
      <c r="F2" s="12" t="inlineStr">
        <is>
          <t>【一般C】SC-010で名前「ST利用者」、メールアドレスst-user@example.com、パスワードTest1234を入力し「登録してログイン」を押す</t>
        </is>
      </c>
      <c r="G2" s="12" t="inlineStr">
        <is>
          <t>SC-020へ遷移する</t>
        </is>
      </c>
      <c r="H2" s="12" t="inlineStr">
        <is>
          <t>usersにst-user@example.comの行が追加される（role_code=1）</t>
        </is>
      </c>
      <c r="I2" s="12" t="inlineStr">
        <is>
          <t>【操作の前と後に実行し、期待結果のとおりであることを確認する】
SELECT id, name, email, role_code, password_hash, anonymized_at, updated_at FROM users ORDER BY id;</t>
        </is>
      </c>
      <c r="J2" s="12" t="inlineStr">
        <is>
          <t>10_要件定義書 4章・7章</t>
        </is>
      </c>
      <c r="K2" s="12" t="inlineStr">
        <is>
          <t>手動</t>
        </is>
      </c>
      <c r="L2" s="12" t="n"/>
      <c r="M2" s="12" t="inlineStr">
        <is>
          <t>OK</t>
        </is>
      </c>
      <c r="N2" s="23" t="n">
        <v>46309</v>
      </c>
      <c r="O2" s="12" t="inlineStr">
        <is>
          <t>佐々木</t>
        </is>
      </c>
      <c r="P2" s="12" t="inlineStr">
        <is>
          <t>入力画面の撮影は漏れたため、登録直後（14:52）のイベント一覧の画面とデータベースの前後で確認した（users に ID=5「ST利用者」、role_code=1 が 14:51:44 に追加）。</t>
        </is>
      </c>
      <c r="Q2" s="15" t="inlineStr">
        <is>
          <t>45_テストエビデンス_総合.xlsx／ST-01</t>
        </is>
      </c>
      <c r="R2" s="12" t="n"/>
      <c r="S2" s="12" t="n"/>
      <c r="T2" s="12" t="n"/>
    </row>
    <row r="3" ht="40.5" customHeight="1">
      <c r="A3" s="12" t="inlineStr">
        <is>
          <t>ST-01-02</t>
        </is>
      </c>
      <c r="B3" s="12" t="inlineStr">
        <is>
          <t>ST-01 一般利用者がイベントを探し、申し込み、参加をやめる</t>
        </is>
      </c>
      <c r="C3" s="12" t="inlineStr">
        <is>
          <t>正常系</t>
        </is>
      </c>
      <c r="D3" s="12" t="inlineStr">
        <is>
          <t>ST-01 一般利用者がイベントを探し、申し込み、参加をやめる</t>
        </is>
      </c>
      <c r="E3" s="12" t="inlineStr">
        <is>
          <t>前のステップの結果</t>
        </is>
      </c>
      <c r="F3" s="12" t="inlineStr">
        <is>
          <t>【一般C】SC-020をカレンダー表示に切り替え、TD-01の開催月を表示する</t>
        </is>
      </c>
      <c r="G3" s="12" t="inlineStr">
        <is>
          <t>TD-01の開催日のマスに「区分テスト」が表示される</t>
        </is>
      </c>
      <c r="H3" s="12" t="inlineStr">
        <is>
          <t>-（参照のみ）</t>
        </is>
      </c>
      <c r="I3" s="12" t="inlineStr">
        <is>
          <t>-</t>
        </is>
      </c>
      <c r="J3" s="12" t="inlineStr">
        <is>
          <t>10_要件定義書 4章・7章</t>
        </is>
      </c>
      <c r="K3" s="12" t="inlineStr">
        <is>
          <t>手動</t>
        </is>
      </c>
      <c r="L3" s="12" t="n"/>
      <c r="M3" s="12" t="inlineStr">
        <is>
          <t>OK</t>
        </is>
      </c>
      <c r="N3" s="23" t="n">
        <v>46309</v>
      </c>
      <c r="O3" s="12" t="inlineStr">
        <is>
          <t>佐々木</t>
        </is>
      </c>
      <c r="P3" s="12" t="n"/>
      <c r="Q3" s="15" t="inlineStr">
        <is>
          <t>45_テストエビデンス_総合.xlsx／ST-01</t>
        </is>
      </c>
      <c r="R3" s="12" t="n"/>
      <c r="S3" s="12" t="n"/>
      <c r="T3" s="12" t="n"/>
    </row>
    <row r="4" ht="40.5" customHeight="1">
      <c r="A4" s="12" t="inlineStr">
        <is>
          <t>ST-01-03</t>
        </is>
      </c>
      <c r="B4" s="12" t="inlineStr">
        <is>
          <t>ST-01 一般利用者がイベントを探し、申し込み、参加をやめる</t>
        </is>
      </c>
      <c r="C4" s="12" t="inlineStr">
        <is>
          <t>正常系</t>
        </is>
      </c>
      <c r="D4" s="12" t="inlineStr">
        <is>
          <t>ST-01 一般利用者がイベントを探し、申し込み、参加をやめる</t>
        </is>
      </c>
      <c r="E4" s="12" t="inlineStr">
        <is>
          <t>前のステップの結果</t>
        </is>
      </c>
      <c r="F4" s="12" t="inlineStr">
        <is>
          <t>【一般C】SC-021でキーワードに「区分テスト」と入力する</t>
        </is>
      </c>
      <c r="G4" s="12" t="inlineStr">
        <is>
          <t>「区分テスト」だけが表示される</t>
        </is>
      </c>
      <c r="H4" s="12" t="inlineStr">
        <is>
          <t>-（参照のみ）</t>
        </is>
      </c>
      <c r="I4" s="12" t="inlineStr">
        <is>
          <t>-</t>
        </is>
      </c>
      <c r="J4" s="12" t="inlineStr">
        <is>
          <t>10_要件定義書 4章・7章</t>
        </is>
      </c>
      <c r="K4" s="12" t="inlineStr">
        <is>
          <t>手動</t>
        </is>
      </c>
      <c r="L4" s="12" t="n"/>
      <c r="M4" s="12" t="inlineStr">
        <is>
          <t>OK</t>
        </is>
      </c>
      <c r="N4" s="23" t="n">
        <v>46309</v>
      </c>
      <c r="O4" s="12" t="inlineStr">
        <is>
          <t>佐々木</t>
        </is>
      </c>
      <c r="P4" s="12" t="n"/>
      <c r="Q4" s="15" t="inlineStr">
        <is>
          <t>45_テストエビデンス_総合.xlsx／ST-01</t>
        </is>
      </c>
      <c r="R4" s="12" t="n"/>
      <c r="S4" s="12" t="n"/>
      <c r="T4" s="12" t="n"/>
    </row>
    <row r="5" ht="40.5" customHeight="1">
      <c r="A5" s="12" t="inlineStr">
        <is>
          <t>ST-01-04</t>
        </is>
      </c>
      <c r="B5" s="12" t="inlineStr">
        <is>
          <t>ST-01 一般利用者がイベントを探し、申し込み、参加をやめる</t>
        </is>
      </c>
      <c r="C5" s="12" t="inlineStr">
        <is>
          <t>正常系</t>
        </is>
      </c>
      <c r="D5" s="12" t="inlineStr">
        <is>
          <t>ST-01 一般利用者がイベントを探し、申し込み、参加をやめる</t>
        </is>
      </c>
      <c r="E5" s="12" t="inlineStr">
        <is>
          <t>前のステップの結果</t>
        </is>
      </c>
      <c r="F5" s="12" t="inlineStr">
        <is>
          <t>【一般C】「区分テスト」を押してSC-022を開き、「☆ お気に入りに追加」を押す</t>
        </is>
      </c>
      <c r="G5" s="12" t="inlineStr">
        <is>
          <t>「★ お気に入り済み」に変わり、お気に入り数が1になる</t>
        </is>
      </c>
      <c r="H5" s="12" t="inlineStr">
        <is>
          <t>favoritesに、一般CとTD-01の行が追加される</t>
        </is>
      </c>
      <c r="I5" s="12" t="inlineStr">
        <is>
          <t>【操作の前と後に実行し、期待結果のとおりであることを確認する】
SELECT id, event_id, user_id, created_at FROM favorites ORDER BY id;</t>
        </is>
      </c>
      <c r="J5" s="12" t="inlineStr">
        <is>
          <t>10_要件定義書 4章・7章</t>
        </is>
      </c>
      <c r="K5" s="12" t="inlineStr">
        <is>
          <t>手動</t>
        </is>
      </c>
      <c r="L5" s="12" t="n"/>
      <c r="M5" s="12" t="inlineStr">
        <is>
          <t>OK</t>
        </is>
      </c>
      <c r="N5" s="23" t="n">
        <v>46309</v>
      </c>
      <c r="O5" s="12" t="inlineStr">
        <is>
          <t>佐々木</t>
        </is>
      </c>
      <c r="P5" s="12" t="n"/>
      <c r="Q5" s="15" t="inlineStr">
        <is>
          <t>45_テストエビデンス_総合.xlsx／ST-01</t>
        </is>
      </c>
      <c r="R5" s="12" t="n"/>
      <c r="S5" s="12" t="n"/>
      <c r="T5" s="12" t="n"/>
    </row>
    <row r="6" ht="40.5" customHeight="1">
      <c r="A6" s="12" t="inlineStr">
        <is>
          <t>ST-01-05</t>
        </is>
      </c>
      <c r="B6" s="12" t="inlineStr">
        <is>
          <t>ST-01 一般利用者がイベントを探し、申し込み、参加をやめる</t>
        </is>
      </c>
      <c r="C6" s="12" t="inlineStr">
        <is>
          <t>正常系</t>
        </is>
      </c>
      <c r="D6" s="12" t="inlineStr">
        <is>
          <t>ST-01 一般利用者がイベントを探し、申し込み、参加をやめる</t>
        </is>
      </c>
      <c r="E6" s="12" t="inlineStr">
        <is>
          <t>前のステップの結果</t>
        </is>
      </c>
      <c r="F6" s="12" t="inlineStr">
        <is>
          <t>【一般C】参加区分「一般」を選び、アンケートに「勉強のため」と入力して「申し込む」を押す</t>
        </is>
      </c>
      <c r="G6" s="12" t="inlineStr">
        <is>
          <t>SC-023にステータス「受付済」が表示される</t>
        </is>
      </c>
      <c r="H6" s="12" t="inlineStr">
        <is>
          <t>applicationsに、一般CとTD-01の行が追加される（status_code=1、ticket_type_id=「一般」、extra_answer=「勉強のため」）</t>
        </is>
      </c>
      <c r="I6" s="12" t="inlineStr">
        <is>
          <t>【操作の前と後に実行し、期待結果のとおりであることを確認する】
SELECT id, event_id, user_id, ticket_type_id, status_code, extra_answer, checked_in_at, updated_at FROM applications ORDER BY id;</t>
        </is>
      </c>
      <c r="J6" s="12" t="inlineStr">
        <is>
          <t>10_要件定義書 4章・7章</t>
        </is>
      </c>
      <c r="K6" s="12" t="inlineStr">
        <is>
          <t>手動</t>
        </is>
      </c>
      <c r="L6" s="12" t="n"/>
      <c r="M6" s="12" t="inlineStr">
        <is>
          <t>OK</t>
        </is>
      </c>
      <c r="N6" s="23" t="n">
        <v>46309</v>
      </c>
      <c r="O6" s="12" t="inlineStr">
        <is>
          <t>佐々木</t>
        </is>
      </c>
      <c r="P6" s="12" t="n"/>
      <c r="Q6" s="15" t="inlineStr">
        <is>
          <t>45_テストエビデンス_総合.xlsx／ST-01</t>
        </is>
      </c>
      <c r="R6" s="12" t="n"/>
      <c r="S6" s="12" t="n"/>
      <c r="T6" s="12" t="n"/>
    </row>
    <row r="7" ht="40.5" customHeight="1">
      <c r="A7" s="12" t="inlineStr">
        <is>
          <t>ST-01-06</t>
        </is>
      </c>
      <c r="B7" s="12" t="inlineStr">
        <is>
          <t>ST-01 一般利用者がイベントを探し、申し込み、参加をやめる</t>
        </is>
      </c>
      <c r="C7" s="12" t="inlineStr">
        <is>
          <t>正常系</t>
        </is>
      </c>
      <c r="D7" s="12" t="inlineStr">
        <is>
          <t>ST-01 一般利用者がイベントを探し、申し込み、参加をやめる</t>
        </is>
      </c>
      <c r="E7" s="12" t="inlineStr">
        <is>
          <t>前のステップの結果</t>
        </is>
      </c>
      <c r="F7" s="12" t="inlineStr">
        <is>
          <t>【一般C】「イベント一覧へ」を押し、TD-01のSC-022を開く</t>
        </is>
      </c>
      <c r="G7" s="12" t="inlineStr">
        <is>
          <t>参加区分「一般」の残り枠が0と表示される</t>
        </is>
      </c>
      <c r="H7" s="12" t="inlineStr">
        <is>
          <t>-（参照のみ）</t>
        </is>
      </c>
      <c r="I7" s="12" t="inlineStr">
        <is>
          <t>-</t>
        </is>
      </c>
      <c r="J7" s="12" t="inlineStr">
        <is>
          <t>10_要件定義書 4章・7章</t>
        </is>
      </c>
      <c r="K7" s="12" t="inlineStr">
        <is>
          <t>手動</t>
        </is>
      </c>
      <c r="L7" s="12" t="n"/>
      <c r="M7" s="12" t="inlineStr">
        <is>
          <t>OK</t>
        </is>
      </c>
      <c r="N7" s="23" t="n">
        <v>46309</v>
      </c>
      <c r="O7" s="12" t="inlineStr">
        <is>
          <t>佐々木</t>
        </is>
      </c>
      <c r="P7" s="12" t="n"/>
      <c r="Q7" s="15" t="inlineStr">
        <is>
          <t>45_テストエビデンス_総合.xlsx／ST-01</t>
        </is>
      </c>
      <c r="R7" s="12" t="n"/>
      <c r="S7" s="12" t="n"/>
      <c r="T7" s="12" t="n"/>
    </row>
    <row r="8" ht="40.5" customHeight="1">
      <c r="A8" s="12" t="inlineStr">
        <is>
          <t>ST-01-07</t>
        </is>
      </c>
      <c r="B8" s="12" t="inlineStr">
        <is>
          <t>ST-01 一般利用者がイベントを探し、申し込み、参加をやめる</t>
        </is>
      </c>
      <c r="C8" s="12" t="inlineStr">
        <is>
          <t>正常系</t>
        </is>
      </c>
      <c r="D8" s="12" t="inlineStr">
        <is>
          <t>ST-01 一般利用者がイベントを探し、申し込み、参加をやめる</t>
        </is>
      </c>
      <c r="E8" s="12" t="inlineStr">
        <is>
          <t>前のステップの結果</t>
        </is>
      </c>
      <c r="F8" s="12" t="inlineStr">
        <is>
          <t>【一般C】コメント欄に「駐車場はありますか」と入力し「投稿」を押す</t>
        </is>
      </c>
      <c r="G8" s="12" t="inlineStr">
        <is>
          <t>コメント一覧に追加される</t>
        </is>
      </c>
      <c r="H8" s="12" t="inlineStr">
        <is>
          <t>event_commentsに、一般CとTD-01の行が追加される</t>
        </is>
      </c>
      <c r="I8" s="12" t="inlineStr">
        <is>
          <t>【操作の前と後に実行し、期待結果のとおりであることを確認する】
SELECT id, event_id, user_id, parent_comment_id, body, deleted_at, updated_at FROM event_comments ORDER BY id;</t>
        </is>
      </c>
      <c r="J8" s="12" t="inlineStr">
        <is>
          <t>10_要件定義書 4章・7章</t>
        </is>
      </c>
      <c r="K8" s="12" t="inlineStr">
        <is>
          <t>手動</t>
        </is>
      </c>
      <c r="L8" s="12" t="n"/>
      <c r="M8" s="12" t="inlineStr">
        <is>
          <t>OK</t>
        </is>
      </c>
      <c r="N8" s="23" t="n">
        <v>46309</v>
      </c>
      <c r="O8" s="12" t="inlineStr">
        <is>
          <t>佐々木</t>
        </is>
      </c>
      <c r="P8" s="12" t="n"/>
      <c r="Q8" s="15" t="inlineStr">
        <is>
          <t>45_テストエビデンス_総合.xlsx／ST-01</t>
        </is>
      </c>
      <c r="R8" s="12" t="n"/>
      <c r="S8" s="12" t="n"/>
      <c r="T8" s="12" t="n"/>
    </row>
    <row r="9" ht="40.5" customHeight="1">
      <c r="A9" s="12" t="inlineStr">
        <is>
          <t>ST-01-08</t>
        </is>
      </c>
      <c r="B9" s="12" t="inlineStr">
        <is>
          <t>ST-01 一般利用者がイベントを探し、申し込み、参加をやめる</t>
        </is>
      </c>
      <c r="C9" s="12" t="inlineStr">
        <is>
          <t>正常系</t>
        </is>
      </c>
      <c r="D9" s="12" t="inlineStr">
        <is>
          <t>ST-01 一般利用者がイベントを探し、申し込み、参加をやめる</t>
        </is>
      </c>
      <c r="E9" s="12" t="inlineStr">
        <is>
          <t>前のステップの結果</t>
        </is>
      </c>
      <c r="F9" s="12" t="inlineStr">
        <is>
          <t>【一般C】SC-030の申込一覧タブを開く</t>
        </is>
      </c>
      <c r="G9" s="12" t="inlineStr">
        <is>
          <t>「区分テスト」が状況「受付済」で表示される</t>
        </is>
      </c>
      <c r="H9" s="12" t="inlineStr">
        <is>
          <t>-（参照のみ）</t>
        </is>
      </c>
      <c r="I9" s="12" t="inlineStr">
        <is>
          <t>-</t>
        </is>
      </c>
      <c r="J9" s="12" t="inlineStr">
        <is>
          <t>10_要件定義書 4章・7章</t>
        </is>
      </c>
      <c r="K9" s="12" t="inlineStr">
        <is>
          <t>手動</t>
        </is>
      </c>
      <c r="L9" s="12" t="n"/>
      <c r="M9" s="12" t="inlineStr">
        <is>
          <t>OK</t>
        </is>
      </c>
      <c r="N9" s="23" t="n">
        <v>46309</v>
      </c>
      <c r="O9" s="12" t="inlineStr">
        <is>
          <t>佐々木</t>
        </is>
      </c>
      <c r="P9" s="12" t="n"/>
      <c r="Q9" s="15" t="inlineStr">
        <is>
          <t>45_テストエビデンス_総合.xlsx／ST-01</t>
        </is>
      </c>
      <c r="R9" s="12" t="n"/>
      <c r="S9" s="12" t="n"/>
      <c r="T9" s="12" t="n"/>
    </row>
    <row r="10" ht="40.5" customHeight="1">
      <c r="A10" s="12" t="inlineStr">
        <is>
          <t>ST-01-09</t>
        </is>
      </c>
      <c r="B10" s="12" t="inlineStr">
        <is>
          <t>ST-01 一般利用者がイベントを探し、申し込み、参加をやめる</t>
        </is>
      </c>
      <c r="C10" s="12" t="inlineStr">
        <is>
          <t>正常系</t>
        </is>
      </c>
      <c r="D10" s="12" t="inlineStr">
        <is>
          <t>ST-01 一般利用者がイベントを探し、申し込み、参加をやめる</t>
        </is>
      </c>
      <c r="E10" s="12" t="inlineStr">
        <is>
          <t>前のステップの結果</t>
        </is>
      </c>
      <c r="F10" s="12" t="inlineStr">
        <is>
          <t>【一般C】SC-030のお気に入りタブを開く</t>
        </is>
      </c>
      <c r="G10" s="12" t="inlineStr">
        <is>
          <t>「区分テスト」が表示される</t>
        </is>
      </c>
      <c r="H10" s="12" t="inlineStr">
        <is>
          <t>-（参照のみ）</t>
        </is>
      </c>
      <c r="I10" s="12" t="inlineStr">
        <is>
          <t>-</t>
        </is>
      </c>
      <c r="J10" s="12" t="inlineStr">
        <is>
          <t>10_要件定義書 4章・7章</t>
        </is>
      </c>
      <c r="K10" s="12" t="inlineStr">
        <is>
          <t>手動</t>
        </is>
      </c>
      <c r="L10" s="12" t="n"/>
      <c r="M10" s="12" t="inlineStr">
        <is>
          <t>OK</t>
        </is>
      </c>
      <c r="N10" s="23" t="n">
        <v>46309</v>
      </c>
      <c r="O10" s="12" t="inlineStr">
        <is>
          <t>佐々木</t>
        </is>
      </c>
      <c r="P10" s="12" t="n"/>
      <c r="Q10" s="15" t="inlineStr">
        <is>
          <t>45_テストエビデンス_総合.xlsx／ST-01</t>
        </is>
      </c>
      <c r="R10" s="12" t="n"/>
      <c r="S10" s="12" t="n"/>
      <c r="T10" s="12" t="n"/>
    </row>
    <row r="11" ht="40.5" customHeight="1">
      <c r="A11" s="12" t="inlineStr">
        <is>
          <t>ST-01-10</t>
        </is>
      </c>
      <c r="B11" s="12" t="inlineStr">
        <is>
          <t>ST-01 一般利用者がイベントを探し、申し込み、参加をやめる</t>
        </is>
      </c>
      <c r="C11" s="12" t="inlineStr">
        <is>
          <t>正常系</t>
        </is>
      </c>
      <c r="D11" s="12" t="inlineStr">
        <is>
          <t>ST-01 一般利用者がイベントを探し、申し込み、参加をやめる</t>
        </is>
      </c>
      <c r="E11" s="12" t="inlineStr">
        <is>
          <t>前のステップの結果</t>
        </is>
      </c>
      <c r="F11" s="12" t="inlineStr">
        <is>
          <t>【一般C】申込一覧タブで「区分テスト」の「キャンセル」を押し、確認でOKを押す</t>
        </is>
      </c>
      <c r="G11" s="12" t="inlineStr">
        <is>
          <t>状況が「キャンセル済」に変わる</t>
        </is>
      </c>
      <c r="H11" s="12" t="inlineStr">
        <is>
          <t>ST-01-05で追加された行のstatus_codeが9になる（行は残る）</t>
        </is>
      </c>
      <c r="I11" s="12" t="inlineStr">
        <is>
          <t>【操作の前と後に実行し、期待結果のとおりであることを確認する】
SELECT id, event_id, user_id, ticket_type_id, status_code, extra_answer, checked_in_at, updated_at FROM applications ORDER BY id;</t>
        </is>
      </c>
      <c r="J11" s="12" t="inlineStr">
        <is>
          <t>10_要件定義書 4章・7章</t>
        </is>
      </c>
      <c r="K11" s="12" t="inlineStr">
        <is>
          <t>手動</t>
        </is>
      </c>
      <c r="L11" s="12" t="n"/>
      <c r="M11" s="12" t="inlineStr">
        <is>
          <t>OK</t>
        </is>
      </c>
      <c r="N11" s="23" t="n">
        <v>46309</v>
      </c>
      <c r="O11" s="12" t="inlineStr">
        <is>
          <t>佐々木</t>
        </is>
      </c>
      <c r="P11" s="12" t="n"/>
      <c r="Q11" s="15" t="inlineStr">
        <is>
          <t>45_テストエビデンス_総合.xlsx／ST-01</t>
        </is>
      </c>
      <c r="R11" s="12" t="n"/>
      <c r="S11" s="12" t="n"/>
      <c r="T11" s="12" t="n"/>
    </row>
    <row r="12" ht="40.5" customHeight="1">
      <c r="A12" s="12" t="inlineStr">
        <is>
          <t>ST-01-11</t>
        </is>
      </c>
      <c r="B12" s="12" t="inlineStr">
        <is>
          <t>ST-01 一般利用者がイベントを探し、申し込み、参加をやめる</t>
        </is>
      </c>
      <c r="C12" s="12" t="inlineStr">
        <is>
          <t>正常系</t>
        </is>
      </c>
      <c r="D12" s="12" t="inlineStr">
        <is>
          <t>ST-01 一般利用者がイベントを探し、申し込み、参加をやめる</t>
        </is>
      </c>
      <c r="E12" s="12" t="inlineStr">
        <is>
          <t>前のステップの結果</t>
        </is>
      </c>
      <c r="F12" s="12" t="inlineStr">
        <is>
          <t>【一般C】TD-01のSC-022を開き、参加区分「学生」を選んで「申し込む」を押す</t>
        </is>
      </c>
      <c r="G12" s="12" t="inlineStr">
        <is>
          <t>SC-023にステータス「受付済」が表示される</t>
        </is>
      </c>
      <c r="H12" s="12" t="inlineStr">
        <is>
          <t>applicationsに新しい行が追加される（status_code=1、ticket_type_id=「学生」）。キャンセル済の行は残る</t>
        </is>
      </c>
      <c r="I12" s="12" t="inlineStr">
        <is>
          <t>【操作の前と後に実行し、期待結果のとおりであることを確認する】
SELECT id, event_id, user_id, ticket_type_id, status_code, extra_answer, checked_in_at, updated_at FROM applications ORDER BY id;</t>
        </is>
      </c>
      <c r="J12" s="12" t="inlineStr">
        <is>
          <t>10_要件定義書 4章・7章</t>
        </is>
      </c>
      <c r="K12" s="12" t="inlineStr">
        <is>
          <t>手動</t>
        </is>
      </c>
      <c r="L12" s="12" t="n"/>
      <c r="M12" s="12" t="inlineStr">
        <is>
          <t>OK</t>
        </is>
      </c>
      <c r="N12" s="23" t="n">
        <v>46309</v>
      </c>
      <c r="O12" s="12" t="inlineStr">
        <is>
          <t>佐々木</t>
        </is>
      </c>
      <c r="P12" s="12" t="n"/>
      <c r="Q12" s="15" t="inlineStr">
        <is>
          <t>45_テストエビデンス_総合.xlsx／ST-01</t>
        </is>
      </c>
      <c r="R12" s="12" t="n"/>
      <c r="S12" s="12" t="n"/>
      <c r="T12" s="12" t="n"/>
    </row>
    <row r="13" ht="40.5" customHeight="1">
      <c r="A13" s="12" t="inlineStr">
        <is>
          <t>ST-01-12</t>
        </is>
      </c>
      <c r="B13" s="12" t="inlineStr">
        <is>
          <t>ST-01 一般利用者がイベントを探し、申し込み、参加をやめる</t>
        </is>
      </c>
      <c r="C13" s="12" t="inlineStr">
        <is>
          <t>正常系</t>
        </is>
      </c>
      <c r="D13" s="12" t="inlineStr">
        <is>
          <t>ST-01 一般利用者がイベントを探し、申し込み、参加をやめる</t>
        </is>
      </c>
      <c r="E13" s="12" t="inlineStr">
        <is>
          <t>前のステップの結果</t>
        </is>
      </c>
      <c r="F13" s="12" t="inlineStr">
        <is>
          <t>【一般C】SC-030の申込一覧タブを開く</t>
        </is>
      </c>
      <c r="G13" s="12" t="inlineStr">
        <is>
          <t>「区分テスト」が、「受付済」と「キャンセル済」の2件表示される</t>
        </is>
      </c>
      <c r="H13" s="12" t="inlineStr">
        <is>
          <t>applicationsの一般CとTD-01の行が2件（status_codeが1と9）</t>
        </is>
      </c>
      <c r="I13" s="12" t="inlineStr">
        <is>
          <t>【操作の前と後に実行し、期待結果のとおりであることを確認する】
SELECT id, event_id, user_id, ticket_type_id, status_code, extra_answer, checked_in_at, updated_at FROM applications ORDER BY id;</t>
        </is>
      </c>
      <c r="J13" s="12" t="inlineStr">
        <is>
          <t>10_要件定義書 4章・7章</t>
        </is>
      </c>
      <c r="K13" s="12" t="inlineStr">
        <is>
          <t>手動</t>
        </is>
      </c>
      <c r="L13" s="12" t="n"/>
      <c r="M13" s="12" t="inlineStr">
        <is>
          <t>OK</t>
        </is>
      </c>
      <c r="N13" s="23" t="n">
        <v>46309</v>
      </c>
      <c r="O13" s="12" t="inlineStr">
        <is>
          <t>佐々木</t>
        </is>
      </c>
      <c r="P13" s="12" t="n"/>
      <c r="Q13" s="15" t="inlineStr">
        <is>
          <t>45_テストエビデンス_総合.xlsx／ST-01</t>
        </is>
      </c>
      <c r="R13" s="12" t="n"/>
      <c r="S13" s="12" t="n"/>
      <c r="T13" s="12" t="n"/>
    </row>
    <row r="14" ht="40.5" customHeight="1">
      <c r="A14" s="12" t="inlineStr">
        <is>
          <t>ST-02-01</t>
        </is>
      </c>
      <c r="B14" s="12" t="inlineStr">
        <is>
          <t>ST-02 管理者がイベントを準備し、当日受付と実績確認を行う</t>
        </is>
      </c>
      <c r="C14" s="12" t="inlineStr">
        <is>
          <t>正常系</t>
        </is>
      </c>
      <c r="D14" s="12" t="inlineStr">
        <is>
          <t>ST-02 管理者がイベントを準備し、当日受付と実績確認を行う</t>
        </is>
      </c>
      <c r="E14" s="12" t="inlineStr">
        <is>
          <t>前のステップの結果</t>
        </is>
      </c>
      <c r="F14" s="12" t="inlineStr">
        <is>
          <t>【管理者】SC-010でadmin@example.comとTest1234を入力し「ログイン」を押す</t>
        </is>
      </c>
      <c r="G14" s="12" t="inlineStr">
        <is>
          <t>SC-110へ遷移し、5つの指標が表示される</t>
        </is>
      </c>
      <c r="H14" s="12" t="inlineStr">
        <is>
          <t>-（参照のみ）</t>
        </is>
      </c>
      <c r="I14" s="12" t="inlineStr">
        <is>
          <t>-</t>
        </is>
      </c>
      <c r="J14" s="12" t="inlineStr">
        <is>
          <t>10_要件定義書 4章・7章</t>
        </is>
      </c>
      <c r="K14" s="12" t="inlineStr">
        <is>
          <t>手動</t>
        </is>
      </c>
      <c r="L14" s="12" t="n"/>
      <c r="M14" s="12" t="inlineStr">
        <is>
          <t>OK</t>
        </is>
      </c>
      <c r="N14" s="23" t="n">
        <v>46309</v>
      </c>
      <c r="O14" s="12" t="inlineStr">
        <is>
          <t>佐々木</t>
        </is>
      </c>
      <c r="P14" s="12" t="n"/>
      <c r="Q14" s="15" t="inlineStr">
        <is>
          <t>45_テストエビデンス_総合.xlsx／ST-02</t>
        </is>
      </c>
      <c r="R14" s="12" t="n"/>
      <c r="S14" s="12" t="n"/>
      <c r="T14" s="12" t="n"/>
    </row>
    <row r="15" ht="54" customHeight="1">
      <c r="A15" s="12" t="inlineStr">
        <is>
          <t>ST-02-02</t>
        </is>
      </c>
      <c r="B15" s="12" t="inlineStr">
        <is>
          <t>ST-02 管理者がイベントを準備し、当日受付と実績確認を行う</t>
        </is>
      </c>
      <c r="C15" s="12" t="inlineStr">
        <is>
          <t>正常系</t>
        </is>
      </c>
      <c r="D15" s="12" t="inlineStr">
        <is>
          <t>ST-02 管理者がイベントを準備し、当日受付と実績確認を行う</t>
        </is>
      </c>
      <c r="E15" s="12" t="inlineStr">
        <is>
          <t>前のステップの結果</t>
        </is>
      </c>
      <c r="F15" s="12" t="inlineStr">
        <is>
          <t>【管理者】SC-120の「＋ 新規登録」から、イベント「ST説明会」を登録する（開催日時・申込締切は未来、区分「午前」定員2・「午後」定員1、アンケート文言「質問があれば記入してください」）</t>
        </is>
      </c>
      <c r="G15" s="12" t="inlineStr">
        <is>
          <t>SC-120に戻り、「ST説明会」が申込状況「0 / 3」で表示される</t>
        </is>
      </c>
      <c r="H15" s="12" t="inlineStr">
        <is>
          <t>eventsに「ST説明会」の行が追加される（capacity=3）。ticket_typesに2行追加される</t>
        </is>
      </c>
      <c r="I15" s="12" t="inlineStr">
        <is>
          <t>【操作の前と後に実行し、期待結果のとおりであることを確認する】
SELECT id, name, start_at, place, capacity, application_deadline, deleted_at, updated_at FROM events ORDER BY id;
SELECT id, event_id, name, capacity, updated_at FROM ticket_types ORDER BY event_id, id;</t>
        </is>
      </c>
      <c r="J15" s="12" t="inlineStr">
        <is>
          <t>10_要件定義書 4章・7章</t>
        </is>
      </c>
      <c r="K15" s="12" t="inlineStr">
        <is>
          <t>手動</t>
        </is>
      </c>
      <c r="L15" s="12" t="n"/>
      <c r="M15" s="12" t="inlineStr">
        <is>
          <t>OK</t>
        </is>
      </c>
      <c r="N15" s="23" t="n">
        <v>46309</v>
      </c>
      <c r="O15" s="12" t="inlineStr">
        <is>
          <t>佐々木</t>
        </is>
      </c>
      <c r="P15" s="12" t="n"/>
      <c r="Q15" s="15" t="inlineStr">
        <is>
          <t>45_テストエビデンス_総合.xlsx／ST-02</t>
        </is>
      </c>
      <c r="R15" s="12" t="n"/>
      <c r="S15" s="12" t="n"/>
      <c r="T15" s="12" t="n"/>
    </row>
    <row r="16" ht="40.5" customHeight="1">
      <c r="A16" s="12" t="inlineStr">
        <is>
          <t>ST-02-03</t>
        </is>
      </c>
      <c r="B16" s="12" t="inlineStr">
        <is>
          <t>ST-02 管理者がイベントを準備し、当日受付と実績確認を行う</t>
        </is>
      </c>
      <c r="C16" s="12" t="inlineStr">
        <is>
          <t>正常系</t>
        </is>
      </c>
      <c r="D16" s="12" t="inlineStr">
        <is>
          <t>ST-02 管理者がイベントを準備し、当日受付と実績確認を行う</t>
        </is>
      </c>
      <c r="E16" s="12" t="inlineStr">
        <is>
          <t>前のステップの結果</t>
        </is>
      </c>
      <c r="F16" s="12" t="inlineStr">
        <is>
          <t>【管理者】「ST説明会」のイベント名を押し、場所を変更して「保存」を押す</t>
        </is>
      </c>
      <c r="G16" s="12" t="inlineStr">
        <is>
          <t>SC-120に、変更後の場所が表示される</t>
        </is>
      </c>
      <c r="H16" s="12" t="inlineStr">
        <is>
          <t>「ST説明会」のevents.placeが更新される</t>
        </is>
      </c>
      <c r="I16" s="12" t="inlineStr">
        <is>
          <t>【操作の前と後に実行し、期待結果のとおりであることを確認する】
SELECT id, name, start_at, place, capacity, application_deadline, deleted_at, updated_at FROM events ORDER BY id;</t>
        </is>
      </c>
      <c r="J16" s="12" t="inlineStr">
        <is>
          <t>10_要件定義書 4章・7章</t>
        </is>
      </c>
      <c r="K16" s="12" t="inlineStr">
        <is>
          <t>手動</t>
        </is>
      </c>
      <c r="L16" s="12" t="n"/>
      <c r="M16" s="12" t="inlineStr">
        <is>
          <t>OK</t>
        </is>
      </c>
      <c r="N16" s="23" t="n">
        <v>46309</v>
      </c>
      <c r="O16" s="12" t="inlineStr">
        <is>
          <t>佐々木</t>
        </is>
      </c>
      <c r="P16" s="12" t="n"/>
      <c r="Q16" s="15" t="inlineStr">
        <is>
          <t>45_テストエビデンス_総合.xlsx／ST-02</t>
        </is>
      </c>
      <c r="R16" s="12" t="n"/>
      <c r="S16" s="12" t="n"/>
      <c r="T16" s="12" t="n"/>
    </row>
    <row r="17" ht="40.5" customHeight="1">
      <c r="A17" s="12" t="inlineStr">
        <is>
          <t>ST-02-04</t>
        </is>
      </c>
      <c r="B17" s="12" t="inlineStr">
        <is>
          <t>ST-02 管理者がイベントを準備し、当日受付と実績確認を行う</t>
        </is>
      </c>
      <c r="C17" s="12" t="inlineStr">
        <is>
          <t>正常系</t>
        </is>
      </c>
      <c r="D17" s="12" t="inlineStr">
        <is>
          <t>ST-02 管理者がイベントを準備し、当日受付と実績確認を行う</t>
        </is>
      </c>
      <c r="E17" s="12" t="inlineStr">
        <is>
          <t>前のステップの結果</t>
        </is>
      </c>
      <c r="F17" s="12" t="inlineStr">
        <is>
          <t>【一般A】SC-020を開く</t>
        </is>
      </c>
      <c r="G17" s="12" t="inlineStr">
        <is>
          <t>一覧に「ST説明会」が表示される（管理者が登録したイベントが公開されている）</t>
        </is>
      </c>
      <c r="H17" s="12" t="inlineStr">
        <is>
          <t>-（参照のみ）</t>
        </is>
      </c>
      <c r="I17" s="12" t="inlineStr">
        <is>
          <t>-</t>
        </is>
      </c>
      <c r="J17" s="12" t="inlineStr">
        <is>
          <t>10_要件定義書 4章・7章</t>
        </is>
      </c>
      <c r="K17" s="12" t="inlineStr">
        <is>
          <t>手動</t>
        </is>
      </c>
      <c r="L17" s="12" t="n"/>
      <c r="M17" s="12" t="inlineStr">
        <is>
          <t>OK</t>
        </is>
      </c>
      <c r="N17" s="23" t="n">
        <v>46309</v>
      </c>
      <c r="O17" s="12" t="inlineStr">
        <is>
          <t>佐々木</t>
        </is>
      </c>
      <c r="P17" s="12" t="n"/>
      <c r="Q17" s="15" t="inlineStr">
        <is>
          <t>45_テストエビデンス_総合.xlsx／ST-02</t>
        </is>
      </c>
      <c r="R17" s="12" t="n"/>
      <c r="S17" s="12" t="n"/>
      <c r="T17" s="12" t="n"/>
    </row>
    <row r="18" ht="40.5" customHeight="1">
      <c r="A18" s="12" t="inlineStr">
        <is>
          <t>ST-02-05</t>
        </is>
      </c>
      <c r="B18" s="12" t="inlineStr">
        <is>
          <t>ST-02 管理者がイベントを準備し、当日受付と実績確認を行う</t>
        </is>
      </c>
      <c r="C18" s="12" t="inlineStr">
        <is>
          <t>正常系</t>
        </is>
      </c>
      <c r="D18" s="12" t="inlineStr">
        <is>
          <t>ST-02 管理者がイベントを準備し、当日受付と実績確認を行う</t>
        </is>
      </c>
      <c r="E18" s="12" t="inlineStr">
        <is>
          <t>前のステップの結果</t>
        </is>
      </c>
      <c r="F18" s="12" t="inlineStr">
        <is>
          <t>【一般A】「ST説明会」のSC-022で、参加区分「午前」を選び、アンケートに「資料はもらえますか」と入力して「申し込む」を押す</t>
        </is>
      </c>
      <c r="G18" s="12" t="inlineStr">
        <is>
          <t>SC-023にステータス「受付済」が表示される</t>
        </is>
      </c>
      <c r="H18" s="12" t="inlineStr">
        <is>
          <t>applicationsに、一般Aと「ST説明会」の行が追加される（status_code=1）</t>
        </is>
      </c>
      <c r="I18" s="12" t="inlineStr">
        <is>
          <t>【操作の前と後に実行し、期待結果のとおりであることを確認する】
SELECT id, event_id, user_id, ticket_type_id, status_code, extra_answer, checked_in_at, updated_at FROM applications ORDER BY id;</t>
        </is>
      </c>
      <c r="J18" s="12" t="inlineStr">
        <is>
          <t>10_要件定義書 4章・7章</t>
        </is>
      </c>
      <c r="K18" s="12" t="inlineStr">
        <is>
          <t>手動</t>
        </is>
      </c>
      <c r="L18" s="12" t="n"/>
      <c r="M18" s="12" t="inlineStr">
        <is>
          <t>OK</t>
        </is>
      </c>
      <c r="N18" s="23" t="n">
        <v>46309</v>
      </c>
      <c r="O18" s="12" t="inlineStr">
        <is>
          <t>佐々木</t>
        </is>
      </c>
      <c r="P18" s="12" t="n"/>
      <c r="Q18" s="15" t="inlineStr">
        <is>
          <t>45_テストエビデンス_総合.xlsx／ST-02</t>
        </is>
      </c>
      <c r="R18" s="12" t="n"/>
      <c r="S18" s="12" t="n"/>
      <c r="T18" s="12" t="n"/>
    </row>
    <row r="19" ht="40.5" customHeight="1">
      <c r="A19" s="12" t="inlineStr">
        <is>
          <t>ST-02-06</t>
        </is>
      </c>
      <c r="B19" s="12" t="inlineStr">
        <is>
          <t>ST-02 管理者がイベントを準備し、当日受付と実績確認を行う</t>
        </is>
      </c>
      <c r="C19" s="12" t="inlineStr">
        <is>
          <t>正常系</t>
        </is>
      </c>
      <c r="D19" s="12" t="inlineStr">
        <is>
          <t>ST-02 管理者がイベントを準備し、当日受付と実績確認を行う</t>
        </is>
      </c>
      <c r="E19" s="12" t="inlineStr">
        <is>
          <t>前のステップの結果</t>
        </is>
      </c>
      <c r="F19" s="12" t="inlineStr">
        <is>
          <t>【管理者】SC-110を開く</t>
        </is>
      </c>
      <c r="G19" s="12" t="inlineStr">
        <is>
          <t>受付済の申込数が、ST-02-01のときより1増えている</t>
        </is>
      </c>
      <c r="H19" s="12" t="inlineStr">
        <is>
          <t>-（参照のみ）</t>
        </is>
      </c>
      <c r="I19" s="12" t="inlineStr">
        <is>
          <t>-</t>
        </is>
      </c>
      <c r="J19" s="12" t="inlineStr">
        <is>
          <t>10_要件定義書 4章・7章</t>
        </is>
      </c>
      <c r="K19" s="12" t="inlineStr">
        <is>
          <t>手動</t>
        </is>
      </c>
      <c r="L19" s="12" t="n"/>
      <c r="M19" s="12" t="inlineStr">
        <is>
          <t>OK</t>
        </is>
      </c>
      <c r="N19" s="23" t="n">
        <v>46309</v>
      </c>
      <c r="O19" s="12" t="inlineStr">
        <is>
          <t>佐々木</t>
        </is>
      </c>
      <c r="P19" s="12" t="n"/>
      <c r="Q19" s="15" t="inlineStr">
        <is>
          <t>45_テストエビデンス_総合.xlsx／ST-02</t>
        </is>
      </c>
      <c r="R19" s="12" t="n"/>
      <c r="S19" s="12" t="n"/>
      <c r="T19" s="12" t="n"/>
    </row>
    <row r="20" ht="40.5" customHeight="1">
      <c r="A20" s="12" t="inlineStr">
        <is>
          <t>ST-02-07</t>
        </is>
      </c>
      <c r="B20" s="12" t="inlineStr">
        <is>
          <t>ST-02 管理者がイベントを準備し、当日受付と実績確認を行う</t>
        </is>
      </c>
      <c r="C20" s="12" t="inlineStr">
        <is>
          <t>正常系</t>
        </is>
      </c>
      <c r="D20" s="12" t="inlineStr">
        <is>
          <t>ST-02 管理者がイベントを準備し、当日受付と実績確認を行う</t>
        </is>
      </c>
      <c r="E20" s="12" t="inlineStr">
        <is>
          <t>前のステップの結果</t>
        </is>
      </c>
      <c r="F20" s="12" t="inlineStr">
        <is>
          <t>【管理者】SC-120で「ST説明会」の「受付」を押す</t>
        </is>
      </c>
      <c r="G20" s="12" t="inlineStr">
        <is>
          <t>SC-123に、一般Aの申込が区分「午前」、ステータス「受付済」、チェックイン「未チェックイン」、アンケート回答「資料はもらえますか」で表示される</t>
        </is>
      </c>
      <c r="H20" s="12" t="inlineStr">
        <is>
          <t>-（参照のみ）</t>
        </is>
      </c>
      <c r="I20" s="12" t="inlineStr">
        <is>
          <t>-</t>
        </is>
      </c>
      <c r="J20" s="12" t="inlineStr">
        <is>
          <t>10_要件定義書 4章・7章</t>
        </is>
      </c>
      <c r="K20" s="12" t="inlineStr">
        <is>
          <t>手動</t>
        </is>
      </c>
      <c r="L20" s="12" t="n"/>
      <c r="M20" s="12" t="inlineStr">
        <is>
          <t>OK</t>
        </is>
      </c>
      <c r="N20" s="23" t="n">
        <v>46309</v>
      </c>
      <c r="O20" s="12" t="inlineStr">
        <is>
          <t>佐々木</t>
        </is>
      </c>
      <c r="P20" s="12" t="n"/>
      <c r="Q20" s="15" t="inlineStr">
        <is>
          <t>45_テストエビデンス_総合.xlsx／ST-02</t>
        </is>
      </c>
      <c r="R20" s="12" t="n"/>
      <c r="S20" s="12" t="n"/>
      <c r="T20" s="12" t="n"/>
    </row>
    <row r="21" ht="40.5" customHeight="1">
      <c r="A21" s="12" t="inlineStr">
        <is>
          <t>ST-02-08</t>
        </is>
      </c>
      <c r="B21" s="12" t="inlineStr">
        <is>
          <t>ST-02 管理者がイベントを準備し、当日受付と実績確認を行う</t>
        </is>
      </c>
      <c r="C21" s="12" t="inlineStr">
        <is>
          <t>正常系</t>
        </is>
      </c>
      <c r="D21" s="12" t="inlineStr">
        <is>
          <t>ST-02 管理者がイベントを準備し、当日受付と実績確認を行う</t>
        </is>
      </c>
      <c r="E21" s="12" t="inlineStr">
        <is>
          <t>前のステップの結果</t>
        </is>
      </c>
      <c r="F21" s="12" t="inlineStr">
        <is>
          <t>【管理者】一般Aの行の「チェックイン」を押す</t>
        </is>
      </c>
      <c r="G21" s="12" t="inlineStr">
        <is>
          <t>チェックインの列に日時が表示される</t>
        </is>
      </c>
      <c r="H21" s="12" t="inlineStr">
        <is>
          <t>一般Aの申込のapplications.checked_in_atに日時が入る</t>
        </is>
      </c>
      <c r="I21" s="12" t="inlineStr">
        <is>
          <t>【操作の前と後に実行し、期待結果のとおりであることを確認する】
SELECT id, event_id, user_id, ticket_type_id, status_code, extra_answer, checked_in_at, updated_at FROM applications ORDER BY id;</t>
        </is>
      </c>
      <c r="J21" s="12" t="inlineStr">
        <is>
          <t>10_要件定義書 4章・7章</t>
        </is>
      </c>
      <c r="K21" s="12" t="inlineStr">
        <is>
          <t>手動</t>
        </is>
      </c>
      <c r="L21" s="12" t="n"/>
      <c r="M21" s="12" t="inlineStr">
        <is>
          <t>OK</t>
        </is>
      </c>
      <c r="N21" s="23" t="n">
        <v>46309</v>
      </c>
      <c r="O21" s="12" t="inlineStr">
        <is>
          <t>佐々木</t>
        </is>
      </c>
      <c r="P21" s="12" t="n"/>
      <c r="Q21" s="15" t="inlineStr">
        <is>
          <t>45_テストエビデンス_総合.xlsx／ST-02</t>
        </is>
      </c>
      <c r="R21" s="12" t="n"/>
      <c r="S21" s="12" t="n"/>
      <c r="T21" s="12" t="n"/>
    </row>
    <row r="22" ht="40.5" customHeight="1">
      <c r="A22" s="12" t="inlineStr">
        <is>
          <t>ST-02-09</t>
        </is>
      </c>
      <c r="B22" s="12" t="inlineStr">
        <is>
          <t>ST-02 管理者がイベントを準備し、当日受付と実績確認を行う</t>
        </is>
      </c>
      <c r="C22" s="12" t="inlineStr">
        <is>
          <t>正常系</t>
        </is>
      </c>
      <c r="D22" s="12" t="inlineStr">
        <is>
          <t>ST-02 管理者がイベントを準備し、当日受付と実績確認を行う</t>
        </is>
      </c>
      <c r="E22" s="12" t="inlineStr">
        <is>
          <t>前のステップの結果</t>
        </is>
      </c>
      <c r="F22" s="12" t="inlineStr">
        <is>
          <t>【管理者】SC-130を開く</t>
        </is>
      </c>
      <c r="G22" s="12" t="inlineStr">
        <is>
          <t>「ST説明会」の行に、定員3・受付済数1・充足率33%が表示される</t>
        </is>
      </c>
      <c r="H22" s="12" t="inlineStr">
        <is>
          <t>-（参照のみ）</t>
        </is>
      </c>
      <c r="I22" s="12" t="inlineStr">
        <is>
          <t>-</t>
        </is>
      </c>
      <c r="J22" s="12" t="inlineStr">
        <is>
          <t>10_要件定義書 4章・7章</t>
        </is>
      </c>
      <c r="K22" s="12" t="inlineStr">
        <is>
          <t>手動</t>
        </is>
      </c>
      <c r="L22" s="12" t="n"/>
      <c r="M22" s="12" t="inlineStr">
        <is>
          <t>OK</t>
        </is>
      </c>
      <c r="N22" s="23" t="n">
        <v>46309</v>
      </c>
      <c r="O22" s="12" t="inlineStr">
        <is>
          <t>佐々木</t>
        </is>
      </c>
      <c r="P22" s="12" t="inlineStr">
        <is>
          <t>「ST説明会」の行に定員3・受付済数1・充足率33%が表示された。</t>
        </is>
      </c>
      <c r="Q22" s="15" t="inlineStr">
        <is>
          <t>45_テストエビデンス_総合.xlsx／ST-02</t>
        </is>
      </c>
      <c r="R22" s="12" t="n"/>
      <c r="S22" s="12" t="n"/>
      <c r="T22" s="12" t="n"/>
    </row>
    <row r="23" ht="40.5" customHeight="1">
      <c r="A23" s="12" t="inlineStr">
        <is>
          <t>ST-02-10</t>
        </is>
      </c>
      <c r="B23" s="12" t="inlineStr">
        <is>
          <t>ST-02 管理者がイベントを準備し、当日受付と実績確認を行う</t>
        </is>
      </c>
      <c r="C23" s="12" t="inlineStr">
        <is>
          <t>正常系</t>
        </is>
      </c>
      <c r="D23" s="12" t="inlineStr">
        <is>
          <t>ST-02 管理者がイベントを準備し、当日受付と実績確認を行う</t>
        </is>
      </c>
      <c r="E23" s="12" t="inlineStr">
        <is>
          <t>前のステップの結果</t>
        </is>
      </c>
      <c r="F23" s="12" t="inlineStr">
        <is>
          <t>【管理者】「CSVダウンロード」を押し、ダウンロードしたファイルを開く</t>
        </is>
      </c>
      <c r="G23" s="12" t="inlineStr">
        <is>
          <t>「ST説明会」の行に、申込者名「一般ユーザー」、ステータス「受付済」、アンケート回答「資料はもらえますか」、参加区分「午前」が出力されている</t>
        </is>
      </c>
      <c r="H23" s="12" t="inlineStr">
        <is>
          <t>-（参照のみ）</t>
        </is>
      </c>
      <c r="I23" s="12" t="inlineStr">
        <is>
          <t>-</t>
        </is>
      </c>
      <c r="J23" s="12" t="inlineStr">
        <is>
          <t>10_要件定義書 4章・7章</t>
        </is>
      </c>
      <c r="K23" s="12" t="inlineStr">
        <is>
          <t>手動</t>
        </is>
      </c>
      <c r="L23" s="12" t="n"/>
      <c r="M23" s="12" t="inlineStr">
        <is>
          <t>OK</t>
        </is>
      </c>
      <c r="N23" s="23" t="n">
        <v>46309</v>
      </c>
      <c r="O23" s="12" t="inlineStr">
        <is>
          <t>佐々木</t>
        </is>
      </c>
      <c r="P23" s="12" t="n"/>
      <c r="Q23" s="15" t="inlineStr">
        <is>
          <t>45_テストエビデンス_総合.xlsx／ST-02</t>
        </is>
      </c>
      <c r="R23" s="12" t="n"/>
      <c r="S23" s="12" t="n"/>
      <c r="T23" s="12" t="n"/>
    </row>
    <row r="24" ht="40.5" customHeight="1">
      <c r="A24" s="12" t="inlineStr">
        <is>
          <t>ST-02-11</t>
        </is>
      </c>
      <c r="B24" s="12" t="inlineStr">
        <is>
          <t>ST-02 管理者がイベントを準備し、当日受付と実績確認を行う</t>
        </is>
      </c>
      <c r="C24" s="12" t="inlineStr">
        <is>
          <t>正常系</t>
        </is>
      </c>
      <c r="D24" s="12" t="inlineStr">
        <is>
          <t>ST-02 管理者がイベントを準備し、当日受付と実績確認を行う</t>
        </is>
      </c>
      <c r="E24" s="12" t="inlineStr">
        <is>
          <t>前のステップの結果</t>
        </is>
      </c>
      <c r="F24" s="12" t="inlineStr">
        <is>
          <t>【管理者】SC-120で「ST説明会」の「複製」を押す</t>
        </is>
      </c>
      <c r="G24" s="12" t="inlineStr">
        <is>
          <t>SC-121（新規登録）に、開催日時・申込締切以外の項目が入力された状態で表示される</t>
        </is>
      </c>
      <c r="H24" s="12" t="inlineStr">
        <is>
          <t>eventsは変更されない</t>
        </is>
      </c>
      <c r="I24" s="12" t="inlineStr">
        <is>
          <t>【操作の前と後に実行し、結果が同じことを確認する】
SELECT * FROM events ORDER BY id;</t>
        </is>
      </c>
      <c r="J24" s="12" t="inlineStr">
        <is>
          <t>10_要件定義書 4章・7章</t>
        </is>
      </c>
      <c r="K24" s="12" t="inlineStr">
        <is>
          <t>手動</t>
        </is>
      </c>
      <c r="L24" s="12" t="n"/>
      <c r="M24" s="12" t="inlineStr">
        <is>
          <t>OK</t>
        </is>
      </c>
      <c r="N24" s="23" t="n">
        <v>46309</v>
      </c>
      <c r="O24" s="12" t="inlineStr">
        <is>
          <t>佐々木</t>
        </is>
      </c>
      <c r="P24" s="12" t="inlineStr">
        <is>
          <t>開催日時・申込締切以外の項目が複写された。参加区分は「午後」「午前」の順で表示され、複製元の登録順（午前・午後）と異なる（設計書に並び順の定めは無い）。</t>
        </is>
      </c>
      <c r="Q24" s="15" t="inlineStr">
        <is>
          <t>45_テストエビデンス_総合.xlsx／ST-02</t>
        </is>
      </c>
      <c r="R24" s="12" t="n"/>
      <c r="S24" s="12" t="n"/>
      <c r="T24" s="12" t="n"/>
    </row>
    <row r="25" ht="40.5" customHeight="1">
      <c r="A25" s="12" t="inlineStr">
        <is>
          <t>ST-02-12</t>
        </is>
      </c>
      <c r="B25" s="12" t="inlineStr">
        <is>
          <t>ST-02 管理者がイベントを準備し、当日受付と実績確認を行う</t>
        </is>
      </c>
      <c r="C25" s="12" t="inlineStr">
        <is>
          <t>正常系</t>
        </is>
      </c>
      <c r="D25" s="12" t="inlineStr">
        <is>
          <t>ST-02 管理者がイベントを準備し、当日受付と実績確認を行う</t>
        </is>
      </c>
      <c r="E25" s="12" t="inlineStr">
        <is>
          <t>前のステップの結果</t>
        </is>
      </c>
      <c r="F25" s="12" t="inlineStr">
        <is>
          <t>【管理者】開催日時・申込締切を入力し、イベント名を「ST説明会（第2回）」に変えて「保存」を押す</t>
        </is>
      </c>
      <c r="G25" s="12" t="inlineStr">
        <is>
          <t>SC-120に「ST説明会（第2回）」が申込状況「0 / 3」で表示される</t>
        </is>
      </c>
      <c r="H25" s="12" t="inlineStr">
        <is>
          <t>eventsに1行追加される。複製元の申込（applications）は新しいイベントに引き継がれていない</t>
        </is>
      </c>
      <c r="I25" s="12" t="inlineStr">
        <is>
          <t>【操作の前と後に実行し、期待結果のとおりであることを確認する】
SELECT id, name, start_at, place, capacity, application_deadline, deleted_at, updated_at FROM events ORDER BY id;
SELECT id, event_id, user_id, ticket_type_id, status_code, extra_answer, checked_in_at, updated_at FROM applications ORDER BY id;</t>
        </is>
      </c>
      <c r="J25" s="12" t="inlineStr">
        <is>
          <t>10_要件定義書 4章・7章</t>
        </is>
      </c>
      <c r="K25" s="12" t="inlineStr">
        <is>
          <t>手動</t>
        </is>
      </c>
      <c r="L25" s="12" t="n"/>
      <c r="M25" s="12" t="inlineStr">
        <is>
          <t>OK</t>
        </is>
      </c>
      <c r="N25" s="23" t="n">
        <v>46309</v>
      </c>
      <c r="O25" s="12" t="inlineStr">
        <is>
          <t>佐々木</t>
        </is>
      </c>
      <c r="P25" s="12" t="n"/>
      <c r="Q25" s="15" t="inlineStr">
        <is>
          <t>45_テストエビデンス_総合.xlsx／ST-02</t>
        </is>
      </c>
      <c r="R25" s="12" t="n"/>
      <c r="S25" s="12" t="n"/>
      <c r="T25" s="12" t="n"/>
    </row>
    <row r="26" ht="40.5" customHeight="1">
      <c r="A26" s="12" t="inlineStr">
        <is>
          <t>ST-02-13</t>
        </is>
      </c>
      <c r="B26" s="12" t="inlineStr">
        <is>
          <t>ST-02 管理者がイベントを準備し、当日受付と実績確認を行う</t>
        </is>
      </c>
      <c r="C26" s="12" t="inlineStr">
        <is>
          <t>正常系</t>
        </is>
      </c>
      <c r="D26" s="12" t="inlineStr">
        <is>
          <t>ST-02 管理者がイベントを準備し、当日受付と実績確認を行う</t>
        </is>
      </c>
      <c r="E26" s="12" t="inlineStr">
        <is>
          <t>前のステップの結果</t>
        </is>
      </c>
      <c r="F26" s="12" t="inlineStr">
        <is>
          <t>【管理者】SC-150を開く</t>
        </is>
      </c>
      <c r="G26" s="12" t="inlineStr">
        <is>
          <t>ST-01で投稿されたコメントがある場合を含め、全イベントのコメントが新しい順に表示される</t>
        </is>
      </c>
      <c r="H26" s="12" t="inlineStr">
        <is>
          <t>-（参照のみ）</t>
        </is>
      </c>
      <c r="I26" s="12" t="inlineStr">
        <is>
          <t>-</t>
        </is>
      </c>
      <c r="J26" s="12" t="inlineStr">
        <is>
          <t>10_要件定義書 4章・7章</t>
        </is>
      </c>
      <c r="K26" s="12" t="inlineStr">
        <is>
          <t>手動</t>
        </is>
      </c>
      <c r="L26" s="12" t="n"/>
      <c r="M26" s="12" t="inlineStr">
        <is>
          <t>OK</t>
        </is>
      </c>
      <c r="N26" s="23" t="n">
        <v>46309</v>
      </c>
      <c r="O26" s="12" t="inlineStr">
        <is>
          <t>佐々木</t>
        </is>
      </c>
      <c r="P26" s="12" t="inlineStr">
        <is>
          <t>シナリオ開始時にデータを作り直したため、コメントは0件（「コメントはありません。」）の表示を確認した。</t>
        </is>
      </c>
      <c r="Q26" s="15" t="inlineStr">
        <is>
          <t>45_テストエビデンス_総合.xlsx／ST-02</t>
        </is>
      </c>
      <c r="R26" s="12" t="n"/>
      <c r="S26" s="12" t="n"/>
      <c r="T26" s="12" t="n"/>
    </row>
    <row r="27" ht="40.5" customHeight="1">
      <c r="A27" s="12" t="inlineStr">
        <is>
          <t>ST-03-01</t>
        </is>
      </c>
      <c r="B27" s="12" t="inlineStr">
        <is>
          <t>ST-03 定員に達したイベントで、キャンセル待ちが繰り上がる</t>
        </is>
      </c>
      <c r="C27" s="12" t="inlineStr">
        <is>
          <t>正常系</t>
        </is>
      </c>
      <c r="D27" s="12" t="inlineStr">
        <is>
          <t>ST-03 定員に達したイベントで、キャンセル待ちが繰り上がる</t>
        </is>
      </c>
      <c r="E27" s="12" t="inlineStr">
        <is>
          <t>前のステップの結果</t>
        </is>
      </c>
      <c r="F27" s="12" t="inlineStr">
        <is>
          <t>【一般A】TD-02（定員1）のSC-022で「申し込む」を押す</t>
        </is>
      </c>
      <c r="G27" s="12" t="inlineStr">
        <is>
          <t>SC-023にステータス「受付済」が表示される</t>
        </is>
      </c>
      <c r="H27" s="12" t="inlineStr">
        <is>
          <t>TD-02のapplicationsに一般Aの行（status_code=1）が追加される</t>
        </is>
      </c>
      <c r="I27" s="12" t="inlineStr">
        <is>
          <t>【操作の前と後に実行し、期待結果のとおりであることを確認する】
SELECT id, event_id, user_id, ticket_type_id, status_code, extra_answer, checked_in_at, updated_at FROM applications ORDER BY id;</t>
        </is>
      </c>
      <c r="J27" s="12" t="inlineStr">
        <is>
          <t>10_要件定義書 4章・7章</t>
        </is>
      </c>
      <c r="K27" s="12" t="inlineStr">
        <is>
          <t>手動</t>
        </is>
      </c>
      <c r="L27" s="12" t="n"/>
      <c r="M27" s="12" t="inlineStr">
        <is>
          <t>OK</t>
        </is>
      </c>
      <c r="N27" s="23" t="n">
        <v>46309</v>
      </c>
      <c r="O27" s="12" t="inlineStr">
        <is>
          <t>佐々木</t>
        </is>
      </c>
      <c r="P27" s="12" t="n"/>
      <c r="Q27" s="15" t="inlineStr">
        <is>
          <t>45_テストエビデンス_総合.xlsx／ST-03</t>
        </is>
      </c>
      <c r="R27" s="12" t="n"/>
      <c r="S27" s="12" t="n"/>
      <c r="T27" s="12" t="n"/>
    </row>
    <row r="28" ht="40.5" customHeight="1">
      <c r="A28" s="12" t="inlineStr">
        <is>
          <t>ST-03-02</t>
        </is>
      </c>
      <c r="B28" s="12" t="inlineStr">
        <is>
          <t>ST-03 定員に達したイベントで、キャンセル待ちが繰り上がる</t>
        </is>
      </c>
      <c r="C28" s="12" t="inlineStr">
        <is>
          <t>正常系</t>
        </is>
      </c>
      <c r="D28" s="12" t="inlineStr">
        <is>
          <t>ST-03 定員に達したイベントで、キャンセル待ちが繰り上がる</t>
        </is>
      </c>
      <c r="E28" s="12" t="inlineStr">
        <is>
          <t>前のステップの結果</t>
        </is>
      </c>
      <c r="F28" s="12" t="inlineStr">
        <is>
          <t>【一般B】TD-02のSC-022を開く</t>
        </is>
      </c>
      <c r="G28" s="12" t="inlineStr">
        <is>
          <t>残り枠が0で、ボタンが「キャンセル待ちで申し込む」と表示される</t>
        </is>
      </c>
      <c r="H28" s="12" t="inlineStr">
        <is>
          <t>-（参照のみ）</t>
        </is>
      </c>
      <c r="I28" s="12" t="inlineStr">
        <is>
          <t>-</t>
        </is>
      </c>
      <c r="J28" s="12" t="inlineStr">
        <is>
          <t>10_要件定義書 4章・7章</t>
        </is>
      </c>
      <c r="K28" s="12" t="inlineStr">
        <is>
          <t>手動</t>
        </is>
      </c>
      <c r="L28" s="12" t="n"/>
      <c r="M28" s="12" t="inlineStr">
        <is>
          <t>OK</t>
        </is>
      </c>
      <c r="N28" s="23" t="n">
        <v>46309</v>
      </c>
      <c r="O28" s="12" t="inlineStr">
        <is>
          <t>佐々木</t>
        </is>
      </c>
      <c r="P28" s="12" t="inlineStr">
        <is>
          <t>SC-022 ではなく、SC-020（イベント一覧）の詳細の展開で確認した。残り枠0名、「満席のため、申し込むとキャンセル待ちに登録されます。」と「キャンセル待ちで申し込む」ボタンが表示された。</t>
        </is>
      </c>
      <c r="Q28" s="15" t="inlineStr">
        <is>
          <t>45_テストエビデンス_総合.xlsx／ST-03</t>
        </is>
      </c>
      <c r="R28" s="12" t="n"/>
      <c r="S28" s="12" t="n"/>
      <c r="T28" s="12" t="n"/>
    </row>
    <row r="29" ht="40.5" customHeight="1">
      <c r="A29" s="12" t="inlineStr">
        <is>
          <t>ST-03-03</t>
        </is>
      </c>
      <c r="B29" s="12" t="inlineStr">
        <is>
          <t>ST-03 定員に達したイベントで、キャンセル待ちが繰り上がる</t>
        </is>
      </c>
      <c r="C29" s="12" t="inlineStr">
        <is>
          <t>正常系</t>
        </is>
      </c>
      <c r="D29" s="12" t="inlineStr">
        <is>
          <t>ST-03 定員に達したイベントで、キャンセル待ちが繰り上がる</t>
        </is>
      </c>
      <c r="E29" s="12" t="inlineStr">
        <is>
          <t>前のステップの結果</t>
        </is>
      </c>
      <c r="F29" s="12" t="inlineStr">
        <is>
          <t>【一般B】「キャンセル待ちで申し込む」を押す</t>
        </is>
      </c>
      <c r="G29" s="12" t="inlineStr">
        <is>
          <t>SC-023にステータス「キャンセル待ち」と補足説明が表示される</t>
        </is>
      </c>
      <c r="H29" s="12" t="inlineStr">
        <is>
          <t>一般Bの行（status_code=2）が追加される</t>
        </is>
      </c>
      <c r="I29" s="12" t="inlineStr">
        <is>
          <t>【操作の前と後に実行し、期待結果のとおりであることを確認する】
SELECT id, event_id, user_id, ticket_type_id, status_code, extra_answer, checked_in_at, updated_at FROM applications ORDER BY id;</t>
        </is>
      </c>
      <c r="J29" s="12" t="inlineStr">
        <is>
          <t>10_要件定義書 4章・7章</t>
        </is>
      </c>
      <c r="K29" s="12" t="inlineStr">
        <is>
          <t>手動</t>
        </is>
      </c>
      <c r="L29" s="12" t="n"/>
      <c r="M29" s="12" t="inlineStr">
        <is>
          <t>OK</t>
        </is>
      </c>
      <c r="N29" s="23" t="n">
        <v>46309</v>
      </c>
      <c r="O29" s="12" t="inlineStr">
        <is>
          <t>佐々木</t>
        </is>
      </c>
      <c r="P29" s="12" t="n"/>
      <c r="Q29" s="15" t="inlineStr">
        <is>
          <t>45_テストエビデンス_総合.xlsx／ST-03</t>
        </is>
      </c>
      <c r="R29" s="12" t="n"/>
      <c r="S29" s="12" t="n"/>
      <c r="T29" s="12" t="n"/>
    </row>
    <row r="30" ht="40.5" customHeight="1">
      <c r="A30" s="12" t="inlineStr">
        <is>
          <t>ST-03-04</t>
        </is>
      </c>
      <c r="B30" s="12" t="inlineStr">
        <is>
          <t>ST-03 定員に達したイベントで、キャンセル待ちが繰り上がる</t>
        </is>
      </c>
      <c r="C30" s="12" t="inlineStr">
        <is>
          <t>正常系</t>
        </is>
      </c>
      <c r="D30" s="12" t="inlineStr">
        <is>
          <t>ST-03 定員に達したイベントで、キャンセル待ちが繰り上がる</t>
        </is>
      </c>
      <c r="E30" s="12" t="inlineStr">
        <is>
          <t>前のステップの結果</t>
        </is>
      </c>
      <c r="F30" s="12" t="inlineStr">
        <is>
          <t>【一般C】SC-010で新規登録（st-wait@example.com）し、TD-02のSC-022で「キャンセル待ちで申し込む」を押す</t>
        </is>
      </c>
      <c r="G30" s="12" t="inlineStr">
        <is>
          <t>SC-023にステータス「キャンセル待ち」が表示される</t>
        </is>
      </c>
      <c r="H30" s="12" t="inlineStr">
        <is>
          <t>一般Cの行（status_code=2）が追加される</t>
        </is>
      </c>
      <c r="I30" s="12" t="inlineStr">
        <is>
          <t>【操作の前と後に実行し、期待結果のとおりであることを確認する】
SELECT id, event_id, user_id, ticket_type_id, status_code, extra_answer, checked_in_at, updated_at FROM applications ORDER BY id;</t>
        </is>
      </c>
      <c r="J30" s="12" t="inlineStr">
        <is>
          <t>10_要件定義書 4章・7章</t>
        </is>
      </c>
      <c r="K30" s="12" t="inlineStr">
        <is>
          <t>手動</t>
        </is>
      </c>
      <c r="L30" s="12" t="n"/>
      <c r="M30" s="12" t="inlineStr">
        <is>
          <t>OK</t>
        </is>
      </c>
      <c r="N30" s="23" t="n">
        <v>46309</v>
      </c>
      <c r="O30" s="12" t="inlineStr">
        <is>
          <t>佐々木</t>
        </is>
      </c>
      <c r="P30" s="12" t="n"/>
      <c r="Q30" s="15" t="inlineStr">
        <is>
          <t>45_テストエビデンス_総合.xlsx／ST-03</t>
        </is>
      </c>
      <c r="R30" s="12" t="n"/>
      <c r="S30" s="12" t="n"/>
      <c r="T30" s="12" t="n"/>
    </row>
    <row r="31" ht="40.5" customHeight="1">
      <c r="A31" s="12" t="inlineStr">
        <is>
          <t>ST-03-05</t>
        </is>
      </c>
      <c r="B31" s="12" t="inlineStr">
        <is>
          <t>ST-03 定員に達したイベントで、キャンセル待ちが繰り上がる</t>
        </is>
      </c>
      <c r="C31" s="12" t="inlineStr">
        <is>
          <t>正常系</t>
        </is>
      </c>
      <c r="D31" s="12" t="inlineStr">
        <is>
          <t>ST-03 定員に達したイベントで、キャンセル待ちが繰り上がる</t>
        </is>
      </c>
      <c r="E31" s="12" t="inlineStr">
        <is>
          <t>前のステップの結果</t>
        </is>
      </c>
      <c r="F31" s="12" t="inlineStr">
        <is>
          <t>【一般B】SC-030の申込一覧タブを開く</t>
        </is>
      </c>
      <c r="G31" s="12" t="inlineStr">
        <is>
          <t>TD-02が「キャンセル待ち（1番目）」と表示される</t>
        </is>
      </c>
      <c r="H31" s="12" t="inlineStr">
        <is>
          <t>-（参照のみ）</t>
        </is>
      </c>
      <c r="I31" s="12" t="inlineStr">
        <is>
          <t>-</t>
        </is>
      </c>
      <c r="J31" s="12" t="inlineStr">
        <is>
          <t>10_要件定義書 4章・7章</t>
        </is>
      </c>
      <c r="K31" s="12" t="inlineStr">
        <is>
          <t>手動</t>
        </is>
      </c>
      <c r="L31" s="12" t="n"/>
      <c r="M31" s="12" t="inlineStr">
        <is>
          <t>OK</t>
        </is>
      </c>
      <c r="N31" s="23" t="n">
        <v>46309</v>
      </c>
      <c r="O31" s="12" t="inlineStr">
        <is>
          <t>佐々木</t>
        </is>
      </c>
      <c r="P31" s="12" t="n"/>
      <c r="Q31" s="15" t="inlineStr">
        <is>
          <t>45_テストエビデンス_総合.xlsx／ST-03</t>
        </is>
      </c>
      <c r="R31" s="12" t="n"/>
      <c r="S31" s="12" t="n"/>
      <c r="T31" s="12" t="n"/>
    </row>
    <row r="32" ht="40.5" customHeight="1">
      <c r="A32" s="12" t="inlineStr">
        <is>
          <t>ST-03-06</t>
        </is>
      </c>
      <c r="B32" s="12" t="inlineStr">
        <is>
          <t>ST-03 定員に達したイベントで、キャンセル待ちが繰り上がる</t>
        </is>
      </c>
      <c r="C32" s="12" t="inlineStr">
        <is>
          <t>正常系</t>
        </is>
      </c>
      <c r="D32" s="12" t="inlineStr">
        <is>
          <t>ST-03 定員に達したイベントで、キャンセル待ちが繰り上がる</t>
        </is>
      </c>
      <c r="E32" s="12" t="inlineStr">
        <is>
          <t>前のステップの結果</t>
        </is>
      </c>
      <c r="F32" s="12" t="inlineStr">
        <is>
          <t>【一般C】SC-030の申込一覧タブを開く</t>
        </is>
      </c>
      <c r="G32" s="12" t="inlineStr">
        <is>
          <t>TD-02が「キャンセル待ち（2番目）」と表示される</t>
        </is>
      </c>
      <c r="H32" s="12" t="inlineStr">
        <is>
          <t>-（参照のみ）</t>
        </is>
      </c>
      <c r="I32" s="12" t="inlineStr">
        <is>
          <t>-</t>
        </is>
      </c>
      <c r="J32" s="12" t="inlineStr">
        <is>
          <t>10_要件定義書 4章・7章</t>
        </is>
      </c>
      <c r="K32" s="12" t="inlineStr">
        <is>
          <t>手動</t>
        </is>
      </c>
      <c r="L32" s="12" t="n"/>
      <c r="M32" s="12" t="inlineStr">
        <is>
          <t>OK</t>
        </is>
      </c>
      <c r="N32" s="23" t="n">
        <v>46309</v>
      </c>
      <c r="O32" s="12" t="inlineStr">
        <is>
          <t>佐々木</t>
        </is>
      </c>
      <c r="P32" s="12" t="n"/>
      <c r="Q32" s="15" t="inlineStr">
        <is>
          <t>45_テストエビデンス_総合.xlsx／ST-03</t>
        </is>
      </c>
      <c r="R32" s="12" t="n"/>
      <c r="S32" s="12" t="n"/>
      <c r="T32" s="12" t="n"/>
    </row>
    <row r="33" ht="40.5" customHeight="1">
      <c r="A33" s="12" t="inlineStr">
        <is>
          <t>ST-03-07</t>
        </is>
      </c>
      <c r="B33" s="12" t="inlineStr">
        <is>
          <t>ST-03 定員に達したイベントで、キャンセル待ちが繰り上がる</t>
        </is>
      </c>
      <c r="C33" s="12" t="inlineStr">
        <is>
          <t>正常系</t>
        </is>
      </c>
      <c r="D33" s="12" t="inlineStr">
        <is>
          <t>ST-03 定員に達したイベントで、キャンセル待ちが繰り上がる</t>
        </is>
      </c>
      <c r="E33" s="12" t="inlineStr">
        <is>
          <t>前のステップの結果</t>
        </is>
      </c>
      <c r="F33" s="12" t="inlineStr">
        <is>
          <t>【一般A】SC-030でTD-02の「キャンセル」を押し、確認でOKを押す</t>
        </is>
      </c>
      <c r="G33" s="12" t="inlineStr">
        <is>
          <t>状況が「キャンセル済」に変わる</t>
        </is>
      </c>
      <c r="H33" s="12" t="inlineStr">
        <is>
          <t>一般Aの行のstatus_code=9、一般Bの行のstatus_code=1、一般Cの行のstatus_code=2</t>
        </is>
      </c>
      <c r="I33" s="12" t="inlineStr">
        <is>
          <t>【操作の前と後に実行し、期待結果のとおりであることを確認する】
SELECT id, event_id, user_id, ticket_type_id, status_code, extra_answer, checked_in_at, updated_at FROM applications ORDER BY id;</t>
        </is>
      </c>
      <c r="J33" s="12" t="inlineStr">
        <is>
          <t>10_要件定義書 4章・7章</t>
        </is>
      </c>
      <c r="K33" s="12" t="inlineStr">
        <is>
          <t>手動</t>
        </is>
      </c>
      <c r="L33" s="12" t="n"/>
      <c r="M33" s="12" t="inlineStr">
        <is>
          <t>OK</t>
        </is>
      </c>
      <c r="N33" s="23" t="n">
        <v>46309</v>
      </c>
      <c r="O33" s="12" t="inlineStr">
        <is>
          <t>佐々木</t>
        </is>
      </c>
      <c r="P33" s="12" t="n"/>
      <c r="Q33" s="15" t="inlineStr">
        <is>
          <t>45_テストエビデンス_総合.xlsx／ST-03</t>
        </is>
      </c>
      <c r="R33" s="12" t="n"/>
      <c r="S33" s="12" t="n"/>
      <c r="T33" s="12" t="n"/>
    </row>
    <row r="34" ht="40.5" customHeight="1">
      <c r="A34" s="12" t="inlineStr">
        <is>
          <t>ST-03-08</t>
        </is>
      </c>
      <c r="B34" s="12" t="inlineStr">
        <is>
          <t>ST-03 定員に達したイベントで、キャンセル待ちが繰り上がる</t>
        </is>
      </c>
      <c r="C34" s="12" t="inlineStr">
        <is>
          <t>正常系</t>
        </is>
      </c>
      <c r="D34" s="12" t="inlineStr">
        <is>
          <t>ST-03 定員に達したイベントで、キャンセル待ちが繰り上がる</t>
        </is>
      </c>
      <c r="E34" s="12" t="inlineStr">
        <is>
          <t>前のステップの結果</t>
        </is>
      </c>
      <c r="F34" s="12" t="inlineStr">
        <is>
          <t>【一般B】SC-030の申込一覧タブを開き直す</t>
        </is>
      </c>
      <c r="G34" s="12" t="inlineStr">
        <is>
          <t>TD-02が「受付済」と表示され、順位は表示されない</t>
        </is>
      </c>
      <c r="H34" s="12" t="inlineStr">
        <is>
          <t>-（参照のみ）</t>
        </is>
      </c>
      <c r="I34" s="12" t="inlineStr">
        <is>
          <t>-</t>
        </is>
      </c>
      <c r="J34" s="12" t="inlineStr">
        <is>
          <t>10_要件定義書 4章・7章</t>
        </is>
      </c>
      <c r="K34" s="12" t="inlineStr">
        <is>
          <t>手動</t>
        </is>
      </c>
      <c r="L34" s="12" t="n"/>
      <c r="M34" s="12" t="inlineStr">
        <is>
          <t>OK</t>
        </is>
      </c>
      <c r="N34" s="23" t="n">
        <v>46309</v>
      </c>
      <c r="O34" s="12" t="inlineStr">
        <is>
          <t>佐々木</t>
        </is>
      </c>
      <c r="P34" s="12" t="n"/>
      <c r="Q34" s="15" t="inlineStr">
        <is>
          <t>45_テストエビデンス_総合.xlsx／ST-03</t>
        </is>
      </c>
      <c r="R34" s="12" t="n"/>
      <c r="S34" s="12" t="n"/>
      <c r="T34" s="12" t="n"/>
    </row>
    <row r="35" ht="40.5" customHeight="1">
      <c r="A35" s="12" t="inlineStr">
        <is>
          <t>ST-03-09</t>
        </is>
      </c>
      <c r="B35" s="12" t="inlineStr">
        <is>
          <t>ST-03 定員に達したイベントで、キャンセル待ちが繰り上がる</t>
        </is>
      </c>
      <c r="C35" s="12" t="inlineStr">
        <is>
          <t>正常系</t>
        </is>
      </c>
      <c r="D35" s="12" t="inlineStr">
        <is>
          <t>ST-03 定員に達したイベントで、キャンセル待ちが繰り上がる</t>
        </is>
      </c>
      <c r="E35" s="12" t="inlineStr">
        <is>
          <t>前のステップの結果</t>
        </is>
      </c>
      <c r="F35" s="12" t="inlineStr">
        <is>
          <t>【一般C】SC-030の申込一覧タブを開き直す</t>
        </is>
      </c>
      <c r="G35" s="12" t="inlineStr">
        <is>
          <t>TD-02が「キャンセル待ち（1番目）」と表示される（順位が繰り上がる）</t>
        </is>
      </c>
      <c r="H35" s="12" t="inlineStr">
        <is>
          <t>-（参照のみ）</t>
        </is>
      </c>
      <c r="I35" s="12" t="inlineStr">
        <is>
          <t>-</t>
        </is>
      </c>
      <c r="J35" s="12" t="inlineStr">
        <is>
          <t>10_要件定義書 4章・7章</t>
        </is>
      </c>
      <c r="K35" s="12" t="inlineStr">
        <is>
          <t>手動</t>
        </is>
      </c>
      <c r="L35" s="12" t="n"/>
      <c r="M35" s="12" t="inlineStr">
        <is>
          <t>OK</t>
        </is>
      </c>
      <c r="N35" s="23" t="n">
        <v>46309</v>
      </c>
      <c r="O35" s="12" t="inlineStr">
        <is>
          <t>佐々木</t>
        </is>
      </c>
      <c r="P35" s="12" t="n"/>
      <c r="Q35" s="15" t="inlineStr">
        <is>
          <t>45_テストエビデンス_総合.xlsx／ST-03</t>
        </is>
      </c>
      <c r="R35" s="12" t="n"/>
      <c r="S35" s="12" t="n"/>
      <c r="T35" s="12" t="n"/>
    </row>
    <row r="36" ht="40.5" customHeight="1">
      <c r="A36" s="12" t="inlineStr">
        <is>
          <t>ST-03-10</t>
        </is>
      </c>
      <c r="B36" s="12" t="inlineStr">
        <is>
          <t>ST-03 定員に達したイベントで、キャンセル待ちが繰り上がる</t>
        </is>
      </c>
      <c r="C36" s="12" t="inlineStr">
        <is>
          <t>正常系</t>
        </is>
      </c>
      <c r="D36" s="12" t="inlineStr">
        <is>
          <t>ST-03 定員に達したイベントで、キャンセル待ちが繰り上がる</t>
        </is>
      </c>
      <c r="E36" s="12" t="inlineStr">
        <is>
          <t>前のステップの結果</t>
        </is>
      </c>
      <c r="F36" s="12" t="inlineStr">
        <is>
          <t>【管理者】TD-02のSC-123を開く</t>
        </is>
      </c>
      <c r="G36" s="12" t="inlineStr">
        <is>
          <t>一般Aが「キャンセル済」、一般Bが「受付済」、一般Cが「キャンセル待ち」で表示される</t>
        </is>
      </c>
      <c r="H36" s="12" t="inlineStr">
        <is>
          <t>-（参照のみ）</t>
        </is>
      </c>
      <c r="I36" s="12" t="inlineStr">
        <is>
          <t>-</t>
        </is>
      </c>
      <c r="J36" s="12" t="inlineStr">
        <is>
          <t>10_要件定義書 4章・7章</t>
        </is>
      </c>
      <c r="K36" s="12" t="inlineStr">
        <is>
          <t>手動</t>
        </is>
      </c>
      <c r="L36" s="12" t="n"/>
      <c r="M36" s="12" t="inlineStr">
        <is>
          <t>OK</t>
        </is>
      </c>
      <c r="N36" s="23" t="n">
        <v>46309</v>
      </c>
      <c r="O36" s="12" t="inlineStr">
        <is>
          <t>佐々木</t>
        </is>
      </c>
      <c r="P36" s="12" t="n"/>
      <c r="Q36" s="15" t="inlineStr">
        <is>
          <t>45_テストエビデンス_総合.xlsx／ST-03</t>
        </is>
      </c>
      <c r="R36" s="12" t="n"/>
      <c r="S36" s="12" t="n"/>
      <c r="T36" s="12" t="n"/>
    </row>
    <row r="37" ht="40.5" customHeight="1">
      <c r="A37" s="12" t="inlineStr">
        <is>
          <t>ST-03-11</t>
        </is>
      </c>
      <c r="B37" s="12" t="inlineStr">
        <is>
          <t>ST-03 定員に達したイベントで、キャンセル待ちが繰り上がる</t>
        </is>
      </c>
      <c r="C37" s="12" t="inlineStr">
        <is>
          <t>正常系</t>
        </is>
      </c>
      <c r="D37" s="12" t="inlineStr">
        <is>
          <t>ST-03 定員に達したイベントで、キャンセル待ちが繰り上がる</t>
        </is>
      </c>
      <c r="E37" s="12" t="inlineStr">
        <is>
          <t>前のステップの結果</t>
        </is>
      </c>
      <c r="F37" s="12" t="inlineStr">
        <is>
          <t>【管理者】SC-130を開く</t>
        </is>
      </c>
      <c r="G37" s="12" t="inlineStr">
        <is>
          <t>TD-02の受付済数が1（定員1を超えていない）と表示される</t>
        </is>
      </c>
      <c r="H37" s="12" t="inlineStr">
        <is>
          <t>TD-02のapplicationsのうちstatus_code=1の行が1件</t>
        </is>
      </c>
      <c r="I37" s="12" t="inlineStr">
        <is>
          <t>【操作の前と後に実行し、期待結果のとおりであることを確認する】
SELECT id, event_id, user_id, ticket_type_id, status_code, extra_answer, checked_in_at, updated_at FROM applications ORDER BY id;</t>
        </is>
      </c>
      <c r="J37" s="12" t="inlineStr">
        <is>
          <t>10_要件定義書 4章・7章</t>
        </is>
      </c>
      <c r="K37" s="12" t="inlineStr">
        <is>
          <t>手動</t>
        </is>
      </c>
      <c r="L37" s="12" t="n"/>
      <c r="M37" s="12" t="inlineStr">
        <is>
          <t>OK</t>
        </is>
      </c>
      <c r="N37" s="23" t="n">
        <v>46309</v>
      </c>
      <c r="O37" s="12" t="inlineStr">
        <is>
          <t>佐々木</t>
        </is>
      </c>
      <c r="P37" s="12" t="n"/>
      <c r="Q37" s="15" t="inlineStr">
        <is>
          <t>45_テストエビデンス_総合.xlsx／ST-03</t>
        </is>
      </c>
      <c r="R37" s="12" t="n"/>
      <c r="S37" s="12" t="n"/>
      <c r="T37" s="12" t="n"/>
    </row>
    <row r="38" ht="54" customHeight="1">
      <c r="A38" s="12" t="inlineStr">
        <is>
          <t>ST-04-01</t>
        </is>
      </c>
      <c r="B38" s="12" t="inlineStr">
        <is>
          <t>ST-04 利用者のアカウントを管理する（管理者の登録・降格、退会）</t>
        </is>
      </c>
      <c r="C38" s="12" t="inlineStr">
        <is>
          <t>正常系</t>
        </is>
      </c>
      <c r="D38" s="12" t="inlineStr">
        <is>
          <t>ST-04 利用者のアカウントを管理する（管理者の登録・降格、退会）</t>
        </is>
      </c>
      <c r="E38" s="12" t="inlineStr">
        <is>
          <t>前のステップの結果</t>
        </is>
      </c>
      <c r="F38" s="12" t="inlineStr">
        <is>
          <t>【管理者】SC-140で、名前「ST管理者」、メールアドレスst-admin@example.com、初期パスワードTest1234を入力し「管理者を登録」を押す</t>
        </is>
      </c>
      <c r="G38" s="12" t="inlineStr">
        <is>
          <t>一覧に「ST管理者」がロール「管理者」で追加される</t>
        </is>
      </c>
      <c r="H38" s="12" t="inlineStr">
        <is>
          <t>usersにst-admin@example.comの行が追加される（role_code=2）</t>
        </is>
      </c>
      <c r="I38" s="12" t="inlineStr">
        <is>
          <t>【操作の前と後に実行し、期待結果のとおりであることを確認する】
SELECT id, name, email, role_code, password_hash, anonymized_at, updated_at FROM users ORDER BY id;</t>
        </is>
      </c>
      <c r="J38" s="12" t="inlineStr">
        <is>
          <t>10_要件定義書 4章・7章</t>
        </is>
      </c>
      <c r="K38" s="12" t="inlineStr">
        <is>
          <t>手動</t>
        </is>
      </c>
      <c r="L38" s="12" t="n"/>
      <c r="M38" s="12" t="inlineStr">
        <is>
          <t>OK</t>
        </is>
      </c>
      <c r="N38" s="23" t="n">
        <v>46309</v>
      </c>
      <c r="O38" s="12" t="inlineStr">
        <is>
          <t>佐々木</t>
        </is>
      </c>
      <c r="P38" s="12" t="n"/>
      <c r="Q38" s="15" t="inlineStr">
        <is>
          <t>45_テストエビデンス_総合.xlsx／ST-04</t>
        </is>
      </c>
      <c r="R38" s="12" t="n"/>
      <c r="S38" s="12" t="n"/>
      <c r="T38" s="12" t="n"/>
    </row>
    <row r="39" ht="40.5" customHeight="1">
      <c r="A39" s="12" t="inlineStr">
        <is>
          <t>ST-04-02</t>
        </is>
      </c>
      <c r="B39" s="12" t="inlineStr">
        <is>
          <t>ST-04 利用者のアカウントを管理する（管理者の登録・降格、退会）</t>
        </is>
      </c>
      <c r="C39" s="12" t="inlineStr">
        <is>
          <t>正常系</t>
        </is>
      </c>
      <c r="D39" s="12" t="inlineStr">
        <is>
          <t>ST-04 利用者のアカウントを管理する（管理者の登録・降格、退会）</t>
        </is>
      </c>
      <c r="E39" s="12" t="inlineStr">
        <is>
          <t>前のステップの結果</t>
        </is>
      </c>
      <c r="F39" s="12" t="inlineStr">
        <is>
          <t>【ST管理者】別のブラウザのSC-010で、st-admin@example.comとTest1234を入力し「ログイン」を押す</t>
        </is>
      </c>
      <c r="G39" s="12" t="inlineStr">
        <is>
          <t>SC-110へ遷移する（登録された管理者アカウントで管理者として利用できる）</t>
        </is>
      </c>
      <c r="H39" s="12" t="inlineStr">
        <is>
          <t>-（参照のみ）</t>
        </is>
      </c>
      <c r="I39" s="12" t="inlineStr">
        <is>
          <t>-</t>
        </is>
      </c>
      <c r="J39" s="12" t="inlineStr">
        <is>
          <t>10_要件定義書 4章・7章</t>
        </is>
      </c>
      <c r="K39" s="12" t="inlineStr">
        <is>
          <t>手動</t>
        </is>
      </c>
      <c r="L39" s="12" t="n"/>
      <c r="M39" s="12" t="inlineStr">
        <is>
          <t>OK</t>
        </is>
      </c>
      <c r="N39" s="23" t="n">
        <v>46309</v>
      </c>
      <c r="O39" s="12" t="inlineStr">
        <is>
          <t>佐々木</t>
        </is>
      </c>
      <c r="P39" s="12" t="n"/>
      <c r="Q39" s="15" t="inlineStr">
        <is>
          <t>45_テストエビデンス_総合.xlsx／ST-04</t>
        </is>
      </c>
      <c r="R39" s="12" t="n"/>
      <c r="S39" s="12" t="n"/>
      <c r="T39" s="12" t="n"/>
    </row>
    <row r="40" ht="40.5" customHeight="1">
      <c r="A40" s="12" t="inlineStr">
        <is>
          <t>ST-04-03</t>
        </is>
      </c>
      <c r="B40" s="12" t="inlineStr">
        <is>
          <t>ST-04 利用者のアカウントを管理する（管理者の登録・降格、退会）</t>
        </is>
      </c>
      <c r="C40" s="12" t="inlineStr">
        <is>
          <t>正常系</t>
        </is>
      </c>
      <c r="D40" s="12" t="inlineStr">
        <is>
          <t>ST-04 利用者のアカウントを管理する（管理者の登録・降格、退会）</t>
        </is>
      </c>
      <c r="E40" s="12" t="inlineStr">
        <is>
          <t>前のステップの結果</t>
        </is>
      </c>
      <c r="F40" s="12" t="inlineStr">
        <is>
          <t>【管理者】SC-140で「ST管理者」の名前を押し、SC-141で「管理者権限を外す」を押して確認でOKを押す</t>
        </is>
      </c>
      <c r="G40" s="12" t="inlineStr">
        <is>
          <t>利用者区分が「一般利用者」に変わる</t>
        </is>
      </c>
      <c r="H40" s="12" t="inlineStr">
        <is>
          <t>「ST管理者」のusers.role_codeが1になる</t>
        </is>
      </c>
      <c r="I40" s="12" t="inlineStr">
        <is>
          <t>【操作の前と後に実行し、期待結果のとおりであることを確認する】
SELECT id, name, email, role_code, password_hash, anonymized_at, updated_at FROM users ORDER BY id;</t>
        </is>
      </c>
      <c r="J40" s="12" t="inlineStr">
        <is>
          <t>10_要件定義書 4章・7章</t>
        </is>
      </c>
      <c r="K40" s="12" t="inlineStr">
        <is>
          <t>手動</t>
        </is>
      </c>
      <c r="L40" s="12" t="n"/>
      <c r="M40" s="12" t="inlineStr">
        <is>
          <t>OK</t>
        </is>
      </c>
      <c r="N40" s="23" t="n">
        <v>46309</v>
      </c>
      <c r="O40" s="12" t="inlineStr">
        <is>
          <t>佐々木</t>
        </is>
      </c>
      <c r="P40" s="12" t="n"/>
      <c r="Q40" s="15" t="inlineStr">
        <is>
          <t>45_テストエビデンス_総合.xlsx／ST-04</t>
        </is>
      </c>
      <c r="R40" s="12" t="n"/>
      <c r="S40" s="12" t="n"/>
      <c r="T40" s="12" t="n"/>
    </row>
    <row r="41" ht="40.5" customHeight="1">
      <c r="A41" s="12" t="inlineStr">
        <is>
          <t>ST-04-04</t>
        </is>
      </c>
      <c r="B41" s="12" t="inlineStr">
        <is>
          <t>ST-04 利用者のアカウントを管理する（管理者の登録・降格、退会）</t>
        </is>
      </c>
      <c r="C41" s="12" t="inlineStr">
        <is>
          <t>正常系</t>
        </is>
      </c>
      <c r="D41" s="12" t="inlineStr">
        <is>
          <t>ST-04 利用者のアカウントを管理する（管理者の登録・降格、退会）</t>
        </is>
      </c>
      <c r="E41" s="12" t="inlineStr">
        <is>
          <t>前のステップの結果</t>
        </is>
      </c>
      <c r="F41" s="12" t="inlineStr">
        <is>
          <t>【ST管理者】ログアウトし、再度st-admin@example.comとTest1234でログインする</t>
        </is>
      </c>
      <c r="G41" s="12" t="inlineStr">
        <is>
          <t>SC-020へ遷移し、一般利用者向けのナビゲーションが表示される（降格が反映されている）</t>
        </is>
      </c>
      <c r="H41" s="12" t="inlineStr">
        <is>
          <t>-（参照のみ）</t>
        </is>
      </c>
      <c r="I41" s="12" t="inlineStr">
        <is>
          <t>-</t>
        </is>
      </c>
      <c r="J41" s="12" t="inlineStr">
        <is>
          <t>10_要件定義書 4章・7章</t>
        </is>
      </c>
      <c r="K41" s="12" t="inlineStr">
        <is>
          <t>手動</t>
        </is>
      </c>
      <c r="L41" s="12" t="n"/>
      <c r="M41" s="12" t="inlineStr">
        <is>
          <t>OK</t>
        </is>
      </c>
      <c r="N41" s="23" t="n">
        <v>46309</v>
      </c>
      <c r="O41" s="12" t="inlineStr">
        <is>
          <t>佐々木</t>
        </is>
      </c>
      <c r="P41" s="12" t="n"/>
      <c r="Q41" s="15" t="inlineStr">
        <is>
          <t>45_テストエビデンス_総合.xlsx／ST-04</t>
        </is>
      </c>
      <c r="R41" s="12" t="n"/>
      <c r="S41" s="12" t="n"/>
      <c r="T41" s="12" t="n"/>
    </row>
    <row r="42" ht="40.5" customHeight="1">
      <c r="A42" s="12" t="inlineStr">
        <is>
          <t>ST-04-05</t>
        </is>
      </c>
      <c r="B42" s="12" t="inlineStr">
        <is>
          <t>ST-04 利用者のアカウントを管理する（管理者の登録・降格、退会）</t>
        </is>
      </c>
      <c r="C42" s="12" t="inlineStr">
        <is>
          <t>正常系</t>
        </is>
      </c>
      <c r="D42" s="12" t="inlineStr">
        <is>
          <t>ST-04 利用者のアカウントを管理する（管理者の登録・降格、退会）</t>
        </is>
      </c>
      <c r="E42" s="12" t="inlineStr">
        <is>
          <t>前のステップの結果</t>
        </is>
      </c>
      <c r="F42" s="12" t="inlineStr">
        <is>
          <t>【一般A】TD-02のSC-022で「申し込む」を押す</t>
        </is>
      </c>
      <c r="G42" s="12" t="inlineStr">
        <is>
          <t>SC-023にステータス「受付済」が表示される</t>
        </is>
      </c>
      <c r="H42" s="12" t="inlineStr">
        <is>
          <t>一般AとTD-02のapplicationsの行が1件追加される</t>
        </is>
      </c>
      <c r="I42" s="12" t="inlineStr">
        <is>
          <t>【操作の前と後に実行し、期待結果のとおりであることを確認する】
SELECT id, event_id, user_id, ticket_type_id, status_code, extra_answer, checked_in_at, updated_at FROM applications ORDER BY id;</t>
        </is>
      </c>
      <c r="J42" s="12" t="inlineStr">
        <is>
          <t>10_要件定義書 4章・7章</t>
        </is>
      </c>
      <c r="K42" s="12" t="inlineStr">
        <is>
          <t>手動</t>
        </is>
      </c>
      <c r="L42" s="12" t="n"/>
      <c r="M42" s="12" t="inlineStr">
        <is>
          <t>OK</t>
        </is>
      </c>
      <c r="N42" s="23" t="n">
        <v>46309</v>
      </c>
      <c r="O42" s="12" t="inlineStr">
        <is>
          <t>佐々木</t>
        </is>
      </c>
      <c r="P42" s="12" t="n"/>
      <c r="Q42" s="15" t="inlineStr">
        <is>
          <t>45_テストエビデンス_総合.xlsx／ST-04</t>
        </is>
      </c>
      <c r="R42" s="12" t="n"/>
      <c r="S42" s="12" t="n"/>
      <c r="T42" s="12" t="n"/>
    </row>
    <row r="43" ht="40.5" customHeight="1">
      <c r="A43" s="12" t="inlineStr">
        <is>
          <t>ST-04-06</t>
        </is>
      </c>
      <c r="B43" s="12" t="inlineStr">
        <is>
          <t>ST-04 利用者のアカウントを管理する（管理者の登録・降格、退会）</t>
        </is>
      </c>
      <c r="C43" s="12" t="inlineStr">
        <is>
          <t>正常系</t>
        </is>
      </c>
      <c r="D43" s="12" t="inlineStr">
        <is>
          <t>ST-04 利用者のアカウントを管理する（管理者の登録・降格、退会）</t>
        </is>
      </c>
      <c r="E43" s="12" t="inlineStr">
        <is>
          <t>前のステップの結果</t>
        </is>
      </c>
      <c r="F43" s="12" t="inlineStr">
        <is>
          <t>【一般A】TD-02のSC-022で、コメント「楽しみです」を投稿する</t>
        </is>
      </c>
      <c r="G43" s="12" t="inlineStr">
        <is>
          <t>コメント一覧に追加される</t>
        </is>
      </c>
      <c r="H43" s="12" t="inlineStr">
        <is>
          <t>一般AとTD-02のevent_commentsの行が1件追加される</t>
        </is>
      </c>
      <c r="I43" s="12" t="inlineStr">
        <is>
          <t>【操作の前と後に実行し、期待結果のとおりであることを確認する】
SELECT id, event_id, user_id, parent_comment_id, body, deleted_at, updated_at FROM event_comments ORDER BY id;</t>
        </is>
      </c>
      <c r="J43" s="12" t="inlineStr">
        <is>
          <t>10_要件定義書 4章・7章</t>
        </is>
      </c>
      <c r="K43" s="12" t="inlineStr">
        <is>
          <t>手動</t>
        </is>
      </c>
      <c r="L43" s="12" t="n"/>
      <c r="M43" s="12" t="inlineStr">
        <is>
          <t>OK</t>
        </is>
      </c>
      <c r="N43" s="23" t="n">
        <v>46309</v>
      </c>
      <c r="O43" s="12" t="inlineStr">
        <is>
          <t>佐々木</t>
        </is>
      </c>
      <c r="P43" s="12" t="n"/>
      <c r="Q43" s="15" t="inlineStr">
        <is>
          <t>45_テストエビデンス_総合.xlsx／ST-04</t>
        </is>
      </c>
      <c r="R43" s="12" t="n"/>
      <c r="S43" s="12" t="n"/>
      <c r="T43" s="12" t="n"/>
    </row>
    <row r="44" ht="40.5" customHeight="1">
      <c r="A44" s="12" t="inlineStr">
        <is>
          <t>ST-04-07</t>
        </is>
      </c>
      <c r="B44" s="12" t="inlineStr">
        <is>
          <t>ST-04 利用者のアカウントを管理する（管理者の登録・降格、退会）</t>
        </is>
      </c>
      <c r="C44" s="12" t="inlineStr">
        <is>
          <t>正常系</t>
        </is>
      </c>
      <c r="D44" s="12" t="inlineStr">
        <is>
          <t>ST-04 利用者のアカウントを管理する（管理者の登録・降格、退会）</t>
        </is>
      </c>
      <c r="E44" s="12" t="inlineStr">
        <is>
          <t>前のステップの結果</t>
        </is>
      </c>
      <c r="F44" s="12" t="inlineStr">
        <is>
          <t>【一般A】TD-02のSC-022で「☆ お気に入りに追加」を押す</t>
        </is>
      </c>
      <c r="G44" s="12" t="inlineStr">
        <is>
          <t>「★ お気に入り済み」に変わる</t>
        </is>
      </c>
      <c r="H44" s="12" t="inlineStr">
        <is>
          <t>一般AとTD-02のfavoritesの行が1件追加される</t>
        </is>
      </c>
      <c r="I44" s="12" t="inlineStr">
        <is>
          <t>【操作の前と後に実行し、期待結果のとおりであることを確認する】
SELECT id, event_id, user_id, created_at FROM favorites ORDER BY id;</t>
        </is>
      </c>
      <c r="J44" s="12" t="inlineStr">
        <is>
          <t>10_要件定義書 4章・7章</t>
        </is>
      </c>
      <c r="K44" s="12" t="inlineStr">
        <is>
          <t>手動</t>
        </is>
      </c>
      <c r="L44" s="12" t="n"/>
      <c r="M44" s="12" t="inlineStr">
        <is>
          <t>OK</t>
        </is>
      </c>
      <c r="N44" s="23" t="n">
        <v>46309</v>
      </c>
      <c r="O44" s="12" t="inlineStr">
        <is>
          <t>佐々木</t>
        </is>
      </c>
      <c r="P44" s="12" t="n"/>
      <c r="Q44" s="15" t="inlineStr">
        <is>
          <t>45_テストエビデンス_総合.xlsx／ST-04</t>
        </is>
      </c>
      <c r="R44" s="12" t="n"/>
      <c r="S44" s="12" t="n"/>
      <c r="T44" s="12" t="n"/>
    </row>
    <row r="45" ht="54" customHeight="1">
      <c r="A45" s="12" t="inlineStr">
        <is>
          <t>ST-04-08</t>
        </is>
      </c>
      <c r="B45" s="12" t="inlineStr">
        <is>
          <t>ST-04 利用者のアカウントを管理する（管理者の登録・降格、退会）</t>
        </is>
      </c>
      <c r="C45" s="12" t="inlineStr">
        <is>
          <t>正常系</t>
        </is>
      </c>
      <c r="D45" s="12" t="inlineStr">
        <is>
          <t>ST-04 利用者のアカウントを管理する（管理者の登録・降格、退会）</t>
        </is>
      </c>
      <c r="E45" s="12" t="inlineStr">
        <is>
          <t>前のステップの結果</t>
        </is>
      </c>
      <c r="F45" s="12" t="inlineStr">
        <is>
          <t>【一般A】SC-030で「退会する」を押し、確認でOKを押す</t>
        </is>
      </c>
      <c r="G45" s="12" t="inlineStr">
        <is>
          <t>SC-010へ遷移する</t>
        </is>
      </c>
      <c r="H45" s="12" t="inlineStr">
        <is>
          <t>一般A（ID=1）のusers.nameが「退会済み利用者」、emailがwithdrawn-1@invalid.example、password_hashがNULL、anonymized_atに日時が入る</t>
        </is>
      </c>
      <c r="I45" s="12" t="inlineStr">
        <is>
          <t>【操作の前と後に実行し、期待結果のとおりであることを確認する】
SELECT id, name, email, role_code, password_hash, anonymized_at, updated_at FROM users ORDER BY id;</t>
        </is>
      </c>
      <c r="J45" s="12" t="inlineStr">
        <is>
          <t>10_要件定義書 4章・7章</t>
        </is>
      </c>
      <c r="K45" s="12" t="inlineStr">
        <is>
          <t>手動</t>
        </is>
      </c>
      <c r="L45" s="12" t="n"/>
      <c r="M45" s="12" t="inlineStr">
        <is>
          <t>OK</t>
        </is>
      </c>
      <c r="N45" s="23" t="n">
        <v>46309</v>
      </c>
      <c r="O45" s="12" t="inlineStr">
        <is>
          <t>佐々木</t>
        </is>
      </c>
      <c r="P45" s="12" t="n"/>
      <c r="Q45" s="15" t="inlineStr">
        <is>
          <t>45_テストエビデンス_総合.xlsx／ST-04</t>
        </is>
      </c>
      <c r="R45" s="12" t="n"/>
      <c r="S45" s="12" t="n"/>
      <c r="T45" s="12" t="n"/>
    </row>
    <row r="46" ht="40.5" customHeight="1">
      <c r="A46" s="12" t="inlineStr">
        <is>
          <t>ST-04-09</t>
        </is>
      </c>
      <c r="B46" s="12" t="inlineStr">
        <is>
          <t>ST-04 利用者のアカウントを管理する（管理者の登録・降格、退会）</t>
        </is>
      </c>
      <c r="C46" s="12" t="inlineStr">
        <is>
          <t>正常系</t>
        </is>
      </c>
      <c r="D46" s="12" t="inlineStr">
        <is>
          <t>ST-04 利用者のアカウントを管理する（管理者の登録・降格、退会）</t>
        </is>
      </c>
      <c r="E46" s="12" t="inlineStr">
        <is>
          <t>前のステップの結果</t>
        </is>
      </c>
      <c r="F46" s="12" t="inlineStr">
        <is>
          <t>【管理者】SC-140を開く</t>
        </is>
      </c>
      <c r="G46" s="12" t="inlineStr">
        <is>
          <t>ID=1の行の名前が「退会済み利用者」になり、「退会済み」が表示される</t>
        </is>
      </c>
      <c r="H46" s="12" t="inlineStr">
        <is>
          <t>-（参照のみ）</t>
        </is>
      </c>
      <c r="I46" s="12" t="inlineStr">
        <is>
          <t>-</t>
        </is>
      </c>
      <c r="J46" s="12" t="inlineStr">
        <is>
          <t>10_要件定義書 4章・7章</t>
        </is>
      </c>
      <c r="K46" s="12" t="inlineStr">
        <is>
          <t>手動</t>
        </is>
      </c>
      <c r="L46" s="12" t="n"/>
      <c r="M46" s="12" t="inlineStr">
        <is>
          <t>OK</t>
        </is>
      </c>
      <c r="N46" s="23" t="n">
        <v>46309</v>
      </c>
      <c r="O46" s="12" t="inlineStr">
        <is>
          <t>佐々木</t>
        </is>
      </c>
      <c r="P46" s="12" t="n"/>
      <c r="Q46" s="15" t="inlineStr">
        <is>
          <t>45_テストエビデンス_総合.xlsx／ST-04</t>
        </is>
      </c>
      <c r="R46" s="12" t="n"/>
      <c r="S46" s="12" t="n"/>
      <c r="T46" s="12" t="n"/>
    </row>
    <row r="47" ht="40.5" customHeight="1">
      <c r="A47" s="12" t="inlineStr">
        <is>
          <t>ST-04-10</t>
        </is>
      </c>
      <c r="B47" s="12" t="inlineStr">
        <is>
          <t>ST-04 利用者のアカウントを管理する（管理者の登録・降格、退会）</t>
        </is>
      </c>
      <c r="C47" s="12" t="inlineStr">
        <is>
          <t>正常系</t>
        </is>
      </c>
      <c r="D47" s="12" t="inlineStr">
        <is>
          <t>ST-04 利用者のアカウントを管理する（管理者の登録・降格、退会）</t>
        </is>
      </c>
      <c r="E47" s="12" t="inlineStr">
        <is>
          <t>前のステップの結果</t>
        </is>
      </c>
      <c r="F47" s="12" t="inlineStr">
        <is>
          <t>【管理者】ID=1の名前を押してSC-141を開く</t>
        </is>
      </c>
      <c r="G47" s="12" t="inlineStr">
        <is>
          <t>申込一覧・お気に入り一覧・コメント履歴に、ST-04-05〜07の内容が残っている</t>
        </is>
      </c>
      <c r="H47" s="12" t="inlineStr">
        <is>
          <t>ST-04-05〜07で追加されたapplications・event_comments・favoritesの行が残っている</t>
        </is>
      </c>
      <c r="I47" s="12" t="inlineStr">
        <is>
          <t>【操作の前と後に実行し、期待結果のとおりであることを確認する】
SELECT id, event_id, user_id, ticket_type_id, status_code, extra_answer, checked_in_at, updated_at FROM applications ORDER BY id;
SELECT id, event_id, user_id, created_at FROM favorites ORDER BY id;
SELECT id, event_id, user_id, parent_comment_id, body, deleted_at, updated_at FROM event_comments ORDER BY id;</t>
        </is>
      </c>
      <c r="J47" s="12" t="inlineStr">
        <is>
          <t>10_要件定義書 4章・7章</t>
        </is>
      </c>
      <c r="K47" s="12" t="inlineStr">
        <is>
          <t>手動</t>
        </is>
      </c>
      <c r="L47" s="12" t="n"/>
      <c r="M47" s="12" t="inlineStr">
        <is>
          <t>OK</t>
        </is>
      </c>
      <c r="N47" s="23" t="n">
        <v>46309</v>
      </c>
      <c r="O47" s="12" t="inlineStr">
        <is>
          <t>佐々木</t>
        </is>
      </c>
      <c r="P47" s="12" t="inlineStr">
        <is>
          <t>ST-04-05〜07 の申込・お気に入り・コメントが残っていた。利用者詳細には、TD-04（開催済テスト）の申込も表示されている（テストデータとして登録した申込）。</t>
        </is>
      </c>
      <c r="Q47" s="15" t="inlineStr">
        <is>
          <t>45_テストエビデンス_総合.xlsx／ST-04</t>
        </is>
      </c>
      <c r="R47" s="12" t="n"/>
      <c r="S47" s="12" t="n"/>
      <c r="T47" s="12" t="n"/>
    </row>
    <row r="48" ht="40.5" customHeight="1">
      <c r="A48" s="12" t="inlineStr">
        <is>
          <t>ST-04-11</t>
        </is>
      </c>
      <c r="B48" s="12" t="inlineStr">
        <is>
          <t>ST-04 利用者のアカウントを管理する（管理者の登録・降格、退会）</t>
        </is>
      </c>
      <c r="C48" s="12" t="inlineStr">
        <is>
          <t>正常系</t>
        </is>
      </c>
      <c r="D48" s="12" t="inlineStr">
        <is>
          <t>ST-04 利用者のアカウントを管理する（管理者の登録・降格、退会）</t>
        </is>
      </c>
      <c r="E48" s="12" t="inlineStr">
        <is>
          <t>前のステップの結果</t>
        </is>
      </c>
      <c r="F48" s="12" t="inlineStr">
        <is>
          <t>【管理者】TD-02のSC-123を開く</t>
        </is>
      </c>
      <c r="G48" s="12" t="inlineStr">
        <is>
          <t>申込者名が「退会済み利用者」と表示される（個人情報が表示されない）</t>
        </is>
      </c>
      <c r="H48" s="12" t="inlineStr">
        <is>
          <t>-（参照のみ）</t>
        </is>
      </c>
      <c r="I48" s="12" t="inlineStr">
        <is>
          <t>-</t>
        </is>
      </c>
      <c r="J48" s="12" t="inlineStr">
        <is>
          <t>10_要件定義書 4章・7章</t>
        </is>
      </c>
      <c r="K48" s="12" t="inlineStr">
        <is>
          <t>手動</t>
        </is>
      </c>
      <c r="L48" s="12" t="n"/>
      <c r="M48" s="12" t="inlineStr">
        <is>
          <t>OK</t>
        </is>
      </c>
      <c r="N48" s="23" t="n">
        <v>46309</v>
      </c>
      <c r="O48" s="12" t="inlineStr">
        <is>
          <t>佐々木</t>
        </is>
      </c>
      <c r="P48" s="12" t="n"/>
      <c r="Q48" s="15" t="inlineStr">
        <is>
          <t>45_テストエビデンス_総合.xlsx／ST-04</t>
        </is>
      </c>
      <c r="R48" s="12" t="n"/>
      <c r="S48" s="12" t="n"/>
      <c r="T48" s="12" t="n"/>
    </row>
    <row r="49" ht="40.5" customHeight="1">
      <c r="A49" s="12" t="inlineStr">
        <is>
          <t>ST-04-12</t>
        </is>
      </c>
      <c r="B49" s="12" t="inlineStr">
        <is>
          <t>ST-04 利用者のアカウントを管理する（管理者の登録・降格、退会）</t>
        </is>
      </c>
      <c r="C49" s="12" t="inlineStr">
        <is>
          <t>正常系</t>
        </is>
      </c>
      <c r="D49" s="12" t="inlineStr">
        <is>
          <t>ST-04 利用者のアカウントを管理する（管理者の登録・降格、退会）</t>
        </is>
      </c>
      <c r="E49" s="12" t="inlineStr">
        <is>
          <t>前のステップの結果</t>
        </is>
      </c>
      <c r="F49" s="12" t="inlineStr">
        <is>
          <t>【管理者】SC-130で「CSVダウンロード」を押し、ファイルを開く</t>
        </is>
      </c>
      <c r="G49" s="12" t="inlineStr">
        <is>
          <t>TD-02の行の申込者名が「退会済み利用者」と出力されている</t>
        </is>
      </c>
      <c r="H49" s="12" t="inlineStr">
        <is>
          <t>-（参照のみ）</t>
        </is>
      </c>
      <c r="I49" s="12" t="inlineStr">
        <is>
          <t>-</t>
        </is>
      </c>
      <c r="J49" s="12" t="inlineStr">
        <is>
          <t>10_要件定義書 4章・7章</t>
        </is>
      </c>
      <c r="K49" s="12" t="inlineStr">
        <is>
          <t>手動</t>
        </is>
      </c>
      <c r="L49" s="12" t="n"/>
      <c r="M49" s="12" t="inlineStr">
        <is>
          <t>OK</t>
        </is>
      </c>
      <c r="N49" s="23" t="n">
        <v>46309</v>
      </c>
      <c r="O49" s="12" t="inlineStr">
        <is>
          <t>佐々木</t>
        </is>
      </c>
      <c r="P49" s="12" t="n"/>
      <c r="Q49" s="15" t="inlineStr">
        <is>
          <t>45_テストエビデンス_総合.xlsx／ST-04</t>
        </is>
      </c>
      <c r="R49" s="12" t="n"/>
      <c r="S49" s="12" t="n"/>
      <c r="T49" s="12" t="n"/>
    </row>
    <row r="50" ht="40.5" customHeight="1">
      <c r="A50" s="12" t="inlineStr">
        <is>
          <t>ST-05-01</t>
        </is>
      </c>
      <c r="B50" s="12" t="inlineStr">
        <is>
          <t>ST-05 パスワードを変更して利用を続ける</t>
        </is>
      </c>
      <c r="C50" s="12" t="inlineStr">
        <is>
          <t>正常系</t>
        </is>
      </c>
      <c r="D50" s="12" t="inlineStr">
        <is>
          <t>ST-05 パスワードを変更して利用を続ける</t>
        </is>
      </c>
      <c r="E50" s="12" t="inlineStr">
        <is>
          <t>前のステップの結果</t>
        </is>
      </c>
      <c r="F50" s="12" t="inlineStr">
        <is>
          <t>【一般B】SC-010でgeneral2@example.comとTest1234を入力し「ログイン」を押す</t>
        </is>
      </c>
      <c r="G50" s="12" t="inlineStr">
        <is>
          <t>SC-020へ遷移する</t>
        </is>
      </c>
      <c r="H50" s="12" t="inlineStr">
        <is>
          <t>-（参照のみ）</t>
        </is>
      </c>
      <c r="I50" s="12" t="inlineStr">
        <is>
          <t>-</t>
        </is>
      </c>
      <c r="J50" s="12" t="inlineStr">
        <is>
          <t>10_要件定義書 4章・7章</t>
        </is>
      </c>
      <c r="K50" s="12" t="inlineStr">
        <is>
          <t>手動</t>
        </is>
      </c>
      <c r="L50" s="12" t="n"/>
      <c r="M50" s="12" t="inlineStr">
        <is>
          <t>OK</t>
        </is>
      </c>
      <c r="N50" s="23" t="n">
        <v>46309</v>
      </c>
      <c r="O50" s="12" t="inlineStr">
        <is>
          <t>佐々木</t>
        </is>
      </c>
      <c r="P50" s="12" t="n"/>
      <c r="Q50" s="15" t="inlineStr">
        <is>
          <t>45_テストエビデンス_総合.xlsx／ST-05</t>
        </is>
      </c>
      <c r="R50" s="12" t="n"/>
      <c r="S50" s="12" t="n"/>
      <c r="T50" s="12" t="n"/>
    </row>
    <row r="51" ht="27" customHeight="1">
      <c r="A51" s="12" t="inlineStr">
        <is>
          <t>ST-05-02</t>
        </is>
      </c>
      <c r="B51" s="12" t="inlineStr">
        <is>
          <t>ST-05 パスワードを変更して利用を続ける</t>
        </is>
      </c>
      <c r="C51" s="12" t="inlineStr">
        <is>
          <t>正常系</t>
        </is>
      </c>
      <c r="D51" s="12" t="inlineStr">
        <is>
          <t>ST-05 パスワードを変更して利用を続ける</t>
        </is>
      </c>
      <c r="E51" s="12" t="inlineStr">
        <is>
          <t>前のステップの結果</t>
        </is>
      </c>
      <c r="F51" s="12" t="inlineStr">
        <is>
          <t>【一般B】共通ナビゲーションの「パスワード変更」を押す</t>
        </is>
      </c>
      <c r="G51" s="12" t="inlineStr">
        <is>
          <t>SC-011が表示される</t>
        </is>
      </c>
      <c r="H51" s="12" t="inlineStr">
        <is>
          <t>-（参照のみ）</t>
        </is>
      </c>
      <c r="I51" s="12" t="inlineStr">
        <is>
          <t>-</t>
        </is>
      </c>
      <c r="J51" s="12" t="inlineStr">
        <is>
          <t>10_要件定義書 4章・7章</t>
        </is>
      </c>
      <c r="K51" s="12" t="inlineStr">
        <is>
          <t>手動</t>
        </is>
      </c>
      <c r="L51" s="12" t="n"/>
      <c r="M51" s="12" t="inlineStr">
        <is>
          <t>OK</t>
        </is>
      </c>
      <c r="N51" s="23" t="n">
        <v>46309</v>
      </c>
      <c r="O51" s="12" t="inlineStr">
        <is>
          <t>佐々木</t>
        </is>
      </c>
      <c r="P51" s="12" t="inlineStr">
        <is>
          <t>パスワード変更画面（/my/password）を開いた直後の画像は撮影が漏れたため、ST-05-03 の画像（同じ画面で変更を完了した状態）で、パスワード変更画面が表示されたことを確認した。</t>
        </is>
      </c>
      <c r="Q51" s="15" t="inlineStr">
        <is>
          <t>45_テストエビデンス_総合.xlsx／ST-05</t>
        </is>
      </c>
      <c r="R51" s="12" t="n"/>
      <c r="S51" s="12" t="n"/>
      <c r="T51" s="12" t="n"/>
    </row>
    <row r="52" ht="40.5" customHeight="1">
      <c r="A52" s="12" t="inlineStr">
        <is>
          <t>ST-05-03</t>
        </is>
      </c>
      <c r="B52" s="12" t="inlineStr">
        <is>
          <t>ST-05 パスワードを変更して利用を続ける</t>
        </is>
      </c>
      <c r="C52" s="12" t="inlineStr">
        <is>
          <t>正常系</t>
        </is>
      </c>
      <c r="D52" s="12" t="inlineStr">
        <is>
          <t>ST-05 パスワードを変更して利用を続ける</t>
        </is>
      </c>
      <c r="E52" s="12" t="inlineStr">
        <is>
          <t>前のステップの結果</t>
        </is>
      </c>
      <c r="F52" s="12" t="inlineStr">
        <is>
          <t>【一般B】現在のパスワードTest1234、新しいパスワードと確認用にNewPass5678を入力し「変更する」を押す</t>
        </is>
      </c>
      <c r="G52" s="12" t="inlineStr">
        <is>
          <t>「パスワードを変更しました。」が表示される</t>
        </is>
      </c>
      <c r="H52" s="12" t="inlineStr">
        <is>
          <t>一般Bのusers.password_hashが変更前と異なる値になる</t>
        </is>
      </c>
      <c r="I52" s="12" t="inlineStr">
        <is>
          <t>【操作の前と後に実行し、期待結果のとおりであることを確認する】
SELECT id, name, email, role_code, password_hash, anonymized_at, updated_at FROM users ORDER BY id;</t>
        </is>
      </c>
      <c r="J52" s="12" t="inlineStr">
        <is>
          <t>10_要件定義書 4章・7章</t>
        </is>
      </c>
      <c r="K52" s="12" t="inlineStr">
        <is>
          <t>手動</t>
        </is>
      </c>
      <c r="L52" s="12" t="n"/>
      <c r="M52" s="12" t="inlineStr">
        <is>
          <t>OK</t>
        </is>
      </c>
      <c r="N52" s="23" t="n">
        <v>46309</v>
      </c>
      <c r="O52" s="12" t="inlineStr">
        <is>
          <t>佐々木</t>
        </is>
      </c>
      <c r="P52" s="12" t="n"/>
      <c r="Q52" s="15" t="inlineStr">
        <is>
          <t>45_テストエビデンス_総合.xlsx／ST-05</t>
        </is>
      </c>
      <c r="R52" s="12" t="n"/>
      <c r="S52" s="12" t="n"/>
      <c r="T52" s="12" t="n"/>
    </row>
    <row r="53" ht="27" customHeight="1">
      <c r="A53" s="12" t="inlineStr">
        <is>
          <t>ST-05-04</t>
        </is>
      </c>
      <c r="B53" s="12" t="inlineStr">
        <is>
          <t>ST-05 パスワードを変更して利用を続ける</t>
        </is>
      </c>
      <c r="C53" s="12" t="inlineStr">
        <is>
          <t>正常系</t>
        </is>
      </c>
      <c r="D53" s="12" t="inlineStr">
        <is>
          <t>ST-05 パスワードを変更して利用を続ける</t>
        </is>
      </c>
      <c r="E53" s="12" t="inlineStr">
        <is>
          <t>前のステップの結果</t>
        </is>
      </c>
      <c r="F53" s="12" t="inlineStr">
        <is>
          <t>【一般B】そのまま共通ナビゲーションの「マイページ」を押す</t>
        </is>
      </c>
      <c r="G53" s="12" t="inlineStr">
        <is>
          <t>SC-030が表示される（変更後もログイン状態が維持されている）</t>
        </is>
      </c>
      <c r="H53" s="12" t="inlineStr">
        <is>
          <t>-（参照のみ）</t>
        </is>
      </c>
      <c r="I53" s="12" t="inlineStr">
        <is>
          <t>-</t>
        </is>
      </c>
      <c r="J53" s="12" t="inlineStr">
        <is>
          <t>10_要件定義書 4章・7章</t>
        </is>
      </c>
      <c r="K53" s="12" t="inlineStr">
        <is>
          <t>手動</t>
        </is>
      </c>
      <c r="L53" s="12" t="n"/>
      <c r="M53" s="12" t="inlineStr">
        <is>
          <t>OK</t>
        </is>
      </c>
      <c r="N53" s="23" t="n">
        <v>46309</v>
      </c>
      <c r="O53" s="12" t="inlineStr">
        <is>
          <t>佐々木</t>
        </is>
      </c>
      <c r="P53" s="12" t="n"/>
      <c r="Q53" s="15" t="inlineStr">
        <is>
          <t>45_テストエビデンス_総合.xlsx／ST-05</t>
        </is>
      </c>
      <c r="R53" s="12" t="n"/>
      <c r="S53" s="12" t="n"/>
      <c r="T53" s="12" t="n"/>
    </row>
    <row r="54" ht="40.5" customHeight="1">
      <c r="A54" s="12" t="inlineStr">
        <is>
          <t>ST-05-05</t>
        </is>
      </c>
      <c r="B54" s="12" t="inlineStr">
        <is>
          <t>ST-05 パスワードを変更して利用を続ける</t>
        </is>
      </c>
      <c r="C54" s="12" t="inlineStr">
        <is>
          <t>正常系</t>
        </is>
      </c>
      <c r="D54" s="12" t="inlineStr">
        <is>
          <t>ST-05 パスワードを変更して利用を続ける</t>
        </is>
      </c>
      <c r="E54" s="12" t="inlineStr">
        <is>
          <t>前のステップの結果</t>
        </is>
      </c>
      <c r="F54" s="12" t="inlineStr">
        <is>
          <t>【一般B】ログアウトし、general2@example.comとNewPass5678でログインする</t>
        </is>
      </c>
      <c r="G54" s="12" t="inlineStr">
        <is>
          <t>SC-020へ遷移する</t>
        </is>
      </c>
      <c r="H54" s="12" t="inlineStr">
        <is>
          <t>-（参照のみ）</t>
        </is>
      </c>
      <c r="I54" s="12" t="inlineStr">
        <is>
          <t>-</t>
        </is>
      </c>
      <c r="J54" s="12" t="inlineStr">
        <is>
          <t>10_要件定義書 4章・7章</t>
        </is>
      </c>
      <c r="K54" s="12" t="inlineStr">
        <is>
          <t>手動</t>
        </is>
      </c>
      <c r="L54" s="12" t="n"/>
      <c r="M54" s="12" t="inlineStr">
        <is>
          <t>OK</t>
        </is>
      </c>
      <c r="N54" s="23" t="n">
        <v>46309</v>
      </c>
      <c r="O54" s="12" t="inlineStr">
        <is>
          <t>佐々木</t>
        </is>
      </c>
      <c r="P54" s="12" t="n"/>
      <c r="Q54" s="15" t="inlineStr">
        <is>
          <t>45_テストエビデンス_総合.xlsx／ST-05</t>
        </is>
      </c>
      <c r="R54" s="12" t="n"/>
      <c r="S54" s="12" t="n"/>
      <c r="T54" s="12" t="n"/>
    </row>
    <row r="55" ht="27" customHeight="1">
      <c r="A55" s="12" t="inlineStr">
        <is>
          <t>ST-05-06</t>
        </is>
      </c>
      <c r="B55" s="12" t="inlineStr">
        <is>
          <t>ST-05 パスワードを変更して利用を続ける</t>
        </is>
      </c>
      <c r="C55" s="12" t="inlineStr">
        <is>
          <t>正常系</t>
        </is>
      </c>
      <c r="D55" s="12" t="inlineStr">
        <is>
          <t>ST-05 パスワードを変更して利用を続ける</t>
        </is>
      </c>
      <c r="E55" s="12" t="inlineStr">
        <is>
          <t>前のステップの結果</t>
        </is>
      </c>
      <c r="F55" s="12" t="inlineStr">
        <is>
          <t>【一般B】TD-02のSC-022で「申し込む」を押す</t>
        </is>
      </c>
      <c r="G55" s="12" t="inlineStr">
        <is>
          <t>SC-023にステータスが表示される（新しいパスワードでログインした後も、通常どおり利用できる）</t>
        </is>
      </c>
      <c r="H55" s="12" t="inlineStr">
        <is>
          <t>applicationsに一般Bの行が追加される</t>
        </is>
      </c>
      <c r="I55" s="12" t="inlineStr">
        <is>
          <t>【操作の前と後に実行し、期待結果のとおりであることを確認する】
SELECT id, event_id, user_id, ticket_type_id, status_code, extra_answer, checked_in_at, updated_at FROM applications ORDER BY id;</t>
        </is>
      </c>
      <c r="J55" s="12" t="inlineStr">
        <is>
          <t>10_要件定義書 4章・7章</t>
        </is>
      </c>
      <c r="K55" s="12" t="inlineStr">
        <is>
          <t>手動</t>
        </is>
      </c>
      <c r="L55" s="12" t="n"/>
      <c r="M55" s="12" t="inlineStr">
        <is>
          <t>OK</t>
        </is>
      </c>
      <c r="N55" s="23" t="n">
        <v>46309</v>
      </c>
      <c r="O55" s="12" t="inlineStr">
        <is>
          <t>佐々木</t>
        </is>
      </c>
      <c r="P55" s="12" t="n"/>
      <c r="Q55" s="15" t="inlineStr">
        <is>
          <t>45_テストエビデンス_総合.xlsx／ST-05</t>
        </is>
      </c>
      <c r="R55" s="12" t="n"/>
      <c r="S55" s="12" t="n"/>
      <c r="T55" s="12" t="n"/>
    </row>
    <row r="56" ht="27" customHeight="1">
      <c r="A56" s="12" t="inlineStr">
        <is>
          <t>ST-11-01</t>
        </is>
      </c>
      <c r="B56" s="12" t="inlineStr">
        <is>
          <t>ST-11 申込に関する業務ルールで操作が拒否される</t>
        </is>
      </c>
      <c r="C56" s="12" t="inlineStr">
        <is>
          <t>異常系</t>
        </is>
      </c>
      <c r="D56" s="12" t="inlineStr">
        <is>
          <t>ST-11 申込に関する業務ルールで操作が拒否される</t>
        </is>
      </c>
      <c r="E56" s="12" t="inlineStr">
        <is>
          <t>前のステップの結果</t>
        </is>
      </c>
      <c r="F56" s="12" t="inlineStr">
        <is>
          <t>【一般A】TD-03（申込締切が過去）のSC-022を開く</t>
        </is>
      </c>
      <c r="G56" s="12" t="inlineStr">
        <is>
          <t>受付状況が「受付終了」と表示され、「申し込む」が表示されない</t>
        </is>
      </c>
      <c r="H56" s="12" t="inlineStr">
        <is>
          <t>-（参照のみ）</t>
        </is>
      </c>
      <c r="I56" s="12" t="inlineStr">
        <is>
          <t>-</t>
        </is>
      </c>
      <c r="J56" s="12" t="inlineStr">
        <is>
          <t>10_要件定義書 4章・7章</t>
        </is>
      </c>
      <c r="K56" s="12" t="inlineStr">
        <is>
          <t>手動</t>
        </is>
      </c>
      <c r="L56" s="12" t="n"/>
      <c r="M56" s="12" t="inlineStr">
        <is>
          <t>OK</t>
        </is>
      </c>
      <c r="N56" s="23" t="n">
        <v>46309</v>
      </c>
      <c r="O56" s="12" t="inlineStr">
        <is>
          <t>佐々木</t>
        </is>
      </c>
      <c r="P56" s="12" t="n"/>
      <c r="Q56" s="15" t="inlineStr">
        <is>
          <t>45_テストエビデンス_総合.xlsx／ST-11</t>
        </is>
      </c>
      <c r="R56" s="12" t="n"/>
      <c r="S56" s="12" t="n"/>
      <c r="T56" s="12" t="n"/>
    </row>
    <row r="57" ht="27" customHeight="1">
      <c r="A57" s="12" t="inlineStr">
        <is>
          <t>ST-11-02</t>
        </is>
      </c>
      <c r="B57" s="12" t="inlineStr">
        <is>
          <t>ST-11 申込に関する業務ルールで操作が拒否される</t>
        </is>
      </c>
      <c r="C57" s="12" t="inlineStr">
        <is>
          <t>異常系</t>
        </is>
      </c>
      <c r="D57" s="12" t="inlineStr">
        <is>
          <t>ST-11 申込に関する業務ルールで操作が拒否される</t>
        </is>
      </c>
      <c r="E57" s="12" t="inlineStr">
        <is>
          <t>前のステップの結果</t>
        </is>
      </c>
      <c r="F57" s="12" t="inlineStr">
        <is>
          <t>【一般A】TD-02のSC-022で「申し込む」を押す（前提を作る操作）</t>
        </is>
      </c>
      <c r="G57" s="12" t="inlineStr">
        <is>
          <t>SC-023にステータス「受付済」が表示される</t>
        </is>
      </c>
      <c r="H57" s="12" t="inlineStr">
        <is>
          <t>TD-02のapplicationsに一般Aの行（status_code=1）が追加される</t>
        </is>
      </c>
      <c r="I57" s="12" t="inlineStr">
        <is>
          <t>【操作の前と後に実行し、期待結果のとおりであることを確認する】
SELECT id, event_id, user_id, ticket_type_id, status_code, extra_answer, checked_in_at, updated_at FROM applications ORDER BY id;</t>
        </is>
      </c>
      <c r="J57" s="12" t="inlineStr">
        <is>
          <t>10_要件定義書 4章・7章</t>
        </is>
      </c>
      <c r="K57" s="12" t="inlineStr">
        <is>
          <t>手動</t>
        </is>
      </c>
      <c r="L57" s="12" t="n"/>
      <c r="M57" s="12" t="inlineStr">
        <is>
          <t>OK</t>
        </is>
      </c>
      <c r="N57" s="23" t="n">
        <v>46309</v>
      </c>
      <c r="O57" s="12" t="inlineStr">
        <is>
          <t>佐々木</t>
        </is>
      </c>
      <c r="P57" s="12" t="n"/>
      <c r="Q57" s="15" t="inlineStr">
        <is>
          <t>45_テストエビデンス_総合.xlsx／ST-11</t>
        </is>
      </c>
      <c r="R57" s="12" t="n"/>
      <c r="S57" s="12" t="n"/>
      <c r="T57" s="12" t="n"/>
    </row>
    <row r="58" ht="27" customHeight="1">
      <c r="A58" s="12" t="inlineStr">
        <is>
          <t>ST-11-03</t>
        </is>
      </c>
      <c r="B58" s="12" t="inlineStr">
        <is>
          <t>ST-11 申込に関する業務ルールで操作が拒否される</t>
        </is>
      </c>
      <c r="C58" s="12" t="inlineStr">
        <is>
          <t>異常系</t>
        </is>
      </c>
      <c r="D58" s="12" t="inlineStr">
        <is>
          <t>ST-11 申込に関する業務ルールで操作が拒否される</t>
        </is>
      </c>
      <c r="E58" s="12" t="inlineStr">
        <is>
          <t>前のステップの結果</t>
        </is>
      </c>
      <c r="F58" s="12" t="inlineStr">
        <is>
          <t>【一般A】再度TD-02のSC-022を開き、「キャンセル待ちで申し込む」を押す</t>
        </is>
      </c>
      <c r="G58" s="12" t="inlineStr">
        <is>
          <t>「すでに申し込み済みです」が表示され、遷移しない</t>
        </is>
      </c>
      <c r="H58" s="12" t="inlineStr">
        <is>
          <t>TD-02のapplicationsの一般Aの行は1件のまま</t>
        </is>
      </c>
      <c r="I58" s="12" t="inlineStr">
        <is>
          <t>【操作の前と後に実行し、結果が同じことを確認する】
SELECT * FROM applications ORDER BY id;</t>
        </is>
      </c>
      <c r="J58" s="12" t="inlineStr">
        <is>
          <t>10_要件定義書 4章・7章</t>
        </is>
      </c>
      <c r="K58" s="12" t="inlineStr">
        <is>
          <t>手動</t>
        </is>
      </c>
      <c r="L58" s="12" t="n"/>
      <c r="M58" s="12" t="inlineStr">
        <is>
          <t>OK</t>
        </is>
      </c>
      <c r="N58" s="23" t="n">
        <v>46309</v>
      </c>
      <c r="O58" s="12" t="inlineStr">
        <is>
          <t>佐々木</t>
        </is>
      </c>
      <c r="P58" s="12" t="n"/>
      <c r="Q58" s="15" t="inlineStr">
        <is>
          <t>45_テストエビデンス_総合.xlsx／ST-11</t>
        </is>
      </c>
      <c r="R58" s="12" t="n"/>
      <c r="S58" s="12" t="n"/>
      <c r="T58" s="12" t="n"/>
    </row>
    <row r="59" ht="27" customHeight="1">
      <c r="A59" s="12" t="inlineStr">
        <is>
          <t>ST-11-04</t>
        </is>
      </c>
      <c r="B59" s="12" t="inlineStr">
        <is>
          <t>ST-11 申込に関する業務ルールで操作が拒否される</t>
        </is>
      </c>
      <c r="C59" s="12" t="inlineStr">
        <is>
          <t>異常系</t>
        </is>
      </c>
      <c r="D59" s="12" t="inlineStr">
        <is>
          <t>ST-11 申込に関する業務ルールで操作が拒否される</t>
        </is>
      </c>
      <c r="E59" s="12" t="inlineStr">
        <is>
          <t>前のステップの結果</t>
        </is>
      </c>
      <c r="F59" s="12" t="inlineStr">
        <is>
          <t>【一般B】SC-030を開く</t>
        </is>
      </c>
      <c r="G59" s="12" t="inlineStr">
        <is>
          <t>一般Aの申込は表示されない（他人の申込を操作する手段が無い）</t>
        </is>
      </c>
      <c r="H59" s="12" t="inlineStr">
        <is>
          <t>-（参照のみ）</t>
        </is>
      </c>
      <c r="I59" s="12" t="inlineStr">
        <is>
          <t>-</t>
        </is>
      </c>
      <c r="J59" s="12" t="inlineStr">
        <is>
          <t>10_要件定義書 4章・7章</t>
        </is>
      </c>
      <c r="K59" s="12" t="inlineStr">
        <is>
          <t>手動</t>
        </is>
      </c>
      <c r="L59" s="12" t="n"/>
      <c r="M59" s="12" t="inlineStr">
        <is>
          <t>OK</t>
        </is>
      </c>
      <c r="N59" s="23" t="n">
        <v>46309</v>
      </c>
      <c r="O59" s="12" t="inlineStr">
        <is>
          <t>佐々木</t>
        </is>
      </c>
      <c r="P59" s="12" t="n"/>
      <c r="Q59" s="15" t="inlineStr">
        <is>
          <t>45_テストエビデンス_総合.xlsx／ST-11</t>
        </is>
      </c>
      <c r="R59" s="12" t="n"/>
      <c r="S59" s="12" t="n"/>
      <c r="T59" s="12" t="n"/>
    </row>
    <row r="60" ht="40.5" customHeight="1">
      <c r="A60" s="12" t="inlineStr">
        <is>
          <t>ST-11-05</t>
        </is>
      </c>
      <c r="B60" s="12" t="inlineStr">
        <is>
          <t>ST-11 申込に関する業務ルールで操作が拒否される</t>
        </is>
      </c>
      <c r="C60" s="12" t="inlineStr">
        <is>
          <t>異常系</t>
        </is>
      </c>
      <c r="D60" s="12" t="inlineStr">
        <is>
          <t>ST-11 申込に関する業務ルールで操作が拒否される</t>
        </is>
      </c>
      <c r="E60" s="12" t="inlineStr">
        <is>
          <t>前のステップの結果</t>
        </is>
      </c>
      <c r="F60" s="12" t="inlineStr">
        <is>
          <t>【一般A】SC-030で、TD-04（開催日時が過去）の申込の「キャンセル」を押し、確認でOKを押す</t>
        </is>
      </c>
      <c r="G60" s="12" t="inlineStr">
        <is>
          <t>「取消できません」が通知される</t>
        </is>
      </c>
      <c r="H60" s="12" t="inlineStr">
        <is>
          <t>TD-04の申込のstatus_codeは1のまま</t>
        </is>
      </c>
      <c r="I60" s="12" t="inlineStr">
        <is>
          <t>【操作の前と後に実行し、結果が同じことを確認する】
SELECT * FROM applications ORDER BY id;</t>
        </is>
      </c>
      <c r="J60" s="12" t="inlineStr">
        <is>
          <t>10_要件定義書 4章・7章</t>
        </is>
      </c>
      <c r="K60" s="12" t="inlineStr">
        <is>
          <t>手動</t>
        </is>
      </c>
      <c r="L60" s="12" t="n"/>
      <c r="M60" s="12" t="inlineStr">
        <is>
          <t>OK</t>
        </is>
      </c>
      <c r="N60" s="23" t="n">
        <v>46309</v>
      </c>
      <c r="O60" s="12" t="inlineStr">
        <is>
          <t>佐々木</t>
        </is>
      </c>
      <c r="P60" s="12" t="n"/>
      <c r="Q60" s="15" t="inlineStr">
        <is>
          <t>45_テストエビデンス_総合.xlsx／ST-11</t>
        </is>
      </c>
      <c r="R60" s="12" t="n"/>
      <c r="S60" s="12" t="n"/>
      <c r="T60" s="12" t="n"/>
    </row>
    <row r="61" ht="27" customHeight="1">
      <c r="A61" s="12" t="inlineStr">
        <is>
          <t>ST-11-06</t>
        </is>
      </c>
      <c r="B61" s="12" t="inlineStr">
        <is>
          <t>ST-11 申込に関する業務ルールで操作が拒否される</t>
        </is>
      </c>
      <c r="C61" s="12" t="inlineStr">
        <is>
          <t>異常系</t>
        </is>
      </c>
      <c r="D61" s="12" t="inlineStr">
        <is>
          <t>ST-11 申込に関する業務ルールで操作が拒否される</t>
        </is>
      </c>
      <c r="E61" s="12" t="inlineStr">
        <is>
          <t>前のステップの結果</t>
        </is>
      </c>
      <c r="F61" s="12" t="inlineStr">
        <is>
          <t>【管理者】URLを直接指定してTD-02のSC-022を開く</t>
        </is>
      </c>
      <c r="G61" s="12" t="inlineStr">
        <is>
          <t>申込フォームが表示されず、「管理者は申込できません」の旨が表示される</t>
        </is>
      </c>
      <c r="H61" s="12" t="inlineStr">
        <is>
          <t>-（参照のみ）</t>
        </is>
      </c>
      <c r="I61" s="12" t="inlineStr">
        <is>
          <t>-</t>
        </is>
      </c>
      <c r="J61" s="12" t="inlineStr">
        <is>
          <t>10_要件定義書 4章・7章</t>
        </is>
      </c>
      <c r="K61" s="12" t="inlineStr">
        <is>
          <t>手動</t>
        </is>
      </c>
      <c r="L61" s="12" t="n"/>
      <c r="M61" s="12" t="inlineStr">
        <is>
          <t>OK</t>
        </is>
      </c>
      <c r="N61" s="23" t="n">
        <v>46309</v>
      </c>
      <c r="O61" s="12" t="inlineStr">
        <is>
          <t>佐々木</t>
        </is>
      </c>
      <c r="P61" s="12" t="n"/>
      <c r="Q61" s="15" t="inlineStr">
        <is>
          <t>45_テストエビデンス_総合.xlsx／ST-11</t>
        </is>
      </c>
      <c r="R61" s="12" t="n"/>
      <c r="S61" s="12" t="n"/>
      <c r="T61" s="12" t="n"/>
    </row>
    <row r="62" ht="40.5" customHeight="1">
      <c r="A62" s="12" t="inlineStr">
        <is>
          <t>ST-11-07</t>
        </is>
      </c>
      <c r="B62" s="12" t="inlineStr">
        <is>
          <t>ST-11 申込に関する業務ルールで操作が拒否される</t>
        </is>
      </c>
      <c r="C62" s="12" t="inlineStr">
        <is>
          <t>異常系</t>
        </is>
      </c>
      <c r="D62" s="12" t="inlineStr">
        <is>
          <t>ST-11 申込に関する業務ルールで操作が拒否される</t>
        </is>
      </c>
      <c r="E62" s="12" t="inlineStr">
        <is>
          <t>前のステップの結果</t>
        </is>
      </c>
      <c r="F62" s="12" t="inlineStr">
        <is>
          <t>【管理者】Swagger UIで、X-User-Id: 2を指定してPOST /api/applicationsに{"eventId": TD-02のID}を送る</t>
        </is>
      </c>
      <c r="G62" s="12" t="inlineStr">
        <is>
          <t>403「管理者は申込できません」が返る</t>
        </is>
      </c>
      <c r="H62" s="12" t="inlineStr">
        <is>
          <t>SELECT COUNT(*) FROM applications WHERE user_id = 2の結果が0件のまま</t>
        </is>
      </c>
      <c r="I62" s="12" t="inlineStr">
        <is>
          <t>【操作の前と後に実行し、結果が同じことを確認する】
SELECT COUNT(*) FROM applications WHERE user_id = 2;</t>
        </is>
      </c>
      <c r="J62" s="12" t="inlineStr">
        <is>
          <t>10_要件定義書 4章・7章</t>
        </is>
      </c>
      <c r="K62" s="12" t="inlineStr">
        <is>
          <t>手動</t>
        </is>
      </c>
      <c r="L62" s="12" t="n"/>
      <c r="M62" s="12" t="inlineStr">
        <is>
          <t>OK</t>
        </is>
      </c>
      <c r="N62" s="23" t="n">
        <v>46309</v>
      </c>
      <c r="O62" s="12" t="inlineStr">
        <is>
          <t>佐々木</t>
        </is>
      </c>
      <c r="P62" s="12" t="n"/>
      <c r="Q62" s="15" t="inlineStr">
        <is>
          <t>45_テストエビデンス_総合.xlsx／ST-11</t>
        </is>
      </c>
      <c r="R62" s="12" t="n"/>
      <c r="S62" s="12" t="n"/>
      <c r="T62" s="12" t="n"/>
    </row>
    <row r="63" ht="40.5" customHeight="1">
      <c r="A63" s="12" t="inlineStr">
        <is>
          <t>ST-12-01</t>
        </is>
      </c>
      <c r="B63" s="12" t="inlineStr">
        <is>
          <t>ST-12 イベント・利用者の管理に関する業務ルールで操作が拒否される</t>
        </is>
      </c>
      <c r="C63" s="12" t="inlineStr">
        <is>
          <t>異常系</t>
        </is>
      </c>
      <c r="D63" s="12" t="inlineStr">
        <is>
          <t>ST-12 イベント・利用者の管理に関する業務ルールで操作が拒否される</t>
        </is>
      </c>
      <c r="E63" s="12" t="inlineStr">
        <is>
          <t>前のステップの結果</t>
        </is>
      </c>
      <c r="F63" s="12" t="inlineStr">
        <is>
          <t>【一般A】TD-01のSC-022で、参加区分「一般」を選んで「申し込む」を押す（前提を作る操作）</t>
        </is>
      </c>
      <c r="G63" s="12" t="inlineStr">
        <is>
          <t>SC-023にステータス「受付済」が表示される</t>
        </is>
      </c>
      <c r="H63" s="12" t="inlineStr">
        <is>
          <t>TD-01のapplicationsに一般Aの行（status_code=1）が追加される</t>
        </is>
      </c>
      <c r="I63" s="12" t="inlineStr">
        <is>
          <t>【操作の前と後に実行し、期待結果のとおりであることを確認する】
SELECT id, event_id, user_id, ticket_type_id, status_code, extra_answer, checked_in_at, updated_at FROM applications ORDER BY id;</t>
        </is>
      </c>
      <c r="J63" s="12" t="inlineStr">
        <is>
          <t>10_要件定義書 4章・7章</t>
        </is>
      </c>
      <c r="K63" s="12" t="inlineStr">
        <is>
          <t>手動</t>
        </is>
      </c>
      <c r="L63" s="12" t="n"/>
      <c r="M63" s="12" t="inlineStr">
        <is>
          <t>OK</t>
        </is>
      </c>
      <c r="N63" s="23" t="n">
        <v>46310</v>
      </c>
      <c r="O63" s="12" t="inlineStr">
        <is>
          <t>佐々木</t>
        </is>
      </c>
      <c r="P63" s="12" t="n"/>
      <c r="Q63" s="15" t="inlineStr">
        <is>
          <t>45_テストエビデンス_総合.xlsx／ST-12</t>
        </is>
      </c>
      <c r="R63" s="12" t="n"/>
      <c r="S63" s="12" t="n"/>
      <c r="T63" s="12" t="n"/>
    </row>
    <row r="64" ht="40.5" customHeight="1">
      <c r="A64" s="12" t="inlineStr">
        <is>
          <t>ST-12-02</t>
        </is>
      </c>
      <c r="B64" s="12" t="inlineStr">
        <is>
          <t>ST-12 イベント・利用者の管理に関する業務ルールで操作が拒否される</t>
        </is>
      </c>
      <c r="C64" s="12" t="inlineStr">
        <is>
          <t>異常系</t>
        </is>
      </c>
      <c r="D64" s="12" t="inlineStr">
        <is>
          <t>ST-12 イベント・利用者の管理に関する業務ルールで操作が拒否される</t>
        </is>
      </c>
      <c r="E64" s="12" t="inlineStr">
        <is>
          <t>前のステップの結果</t>
        </is>
      </c>
      <c r="F64" s="12" t="inlineStr">
        <is>
          <t>【管理者】SC-120でTD-01の「削除」を押し、確認でOKを押す</t>
        </is>
      </c>
      <c r="G64" s="12" t="inlineStr">
        <is>
          <t>「申込があるため削除できません」が通知され、TD-01は一覧に残る</t>
        </is>
      </c>
      <c r="H64" s="12" t="inlineStr">
        <is>
          <t>TD-01のevents.deleted_atはNULLのまま</t>
        </is>
      </c>
      <c r="I64" s="12" t="inlineStr">
        <is>
          <t>【操作の前と後に実行し、結果が同じことを確認する】
SELECT * FROM events ORDER BY id;</t>
        </is>
      </c>
      <c r="J64" s="12" t="inlineStr">
        <is>
          <t>10_要件定義書 4章・7章</t>
        </is>
      </c>
      <c r="K64" s="12" t="inlineStr">
        <is>
          <t>手動</t>
        </is>
      </c>
      <c r="L64" s="12" t="n"/>
      <c r="M64" s="12" t="inlineStr">
        <is>
          <t>OK</t>
        </is>
      </c>
      <c r="N64" s="23" t="n">
        <v>46310</v>
      </c>
      <c r="O64" s="12" t="inlineStr">
        <is>
          <t>佐々木</t>
        </is>
      </c>
      <c r="P64" s="12" t="inlineStr">
        <is>
          <t>「申込があるため削除できません」が通知され、区分テストは一覧に残った。通知の画像は撮り直し（09:32）。events の deleted_at は NULL のまま。</t>
        </is>
      </c>
      <c r="Q64" s="15" t="inlineStr">
        <is>
          <t>45_テストエビデンス_総合.xlsx／ST-12</t>
        </is>
      </c>
      <c r="R64" s="12" t="n"/>
      <c r="S64" s="12" t="n"/>
      <c r="T64" s="12" t="n"/>
    </row>
    <row r="65" ht="40.5" customHeight="1">
      <c r="A65" s="12" t="inlineStr">
        <is>
          <t>ST-12-03</t>
        </is>
      </c>
      <c r="B65" s="12" t="inlineStr">
        <is>
          <t>ST-12 イベント・利用者の管理に関する業務ルールで操作が拒否される</t>
        </is>
      </c>
      <c r="C65" s="12" t="inlineStr">
        <is>
          <t>異常系</t>
        </is>
      </c>
      <c r="D65" s="12" t="inlineStr">
        <is>
          <t>ST-12 イベント・利用者の管理に関する業務ルールで操作が拒否される</t>
        </is>
      </c>
      <c r="E65" s="12" t="inlineStr">
        <is>
          <t>前のステップの結果</t>
        </is>
      </c>
      <c r="F65" s="12" t="inlineStr">
        <is>
          <t>【管理者】TD-01の編集画面で、区分名「一般」を「一般枠」に変えて「保存」を押す</t>
        </is>
      </c>
      <c r="G65" s="12" t="inlineStr">
        <is>
          <t>「区分に申込があるため変更できません」が表示される</t>
        </is>
      </c>
      <c r="H65" s="12" t="inlineStr">
        <is>
          <t>TD-01のticket_types.nameは「一般」のまま</t>
        </is>
      </c>
      <c r="I65" s="12" t="inlineStr">
        <is>
          <t>【操作の前と後に実行し、結果が同じことを確認する】
SELECT * FROM ticket_types ORDER BY event_id, id;</t>
        </is>
      </c>
      <c r="J65" s="12" t="inlineStr">
        <is>
          <t>10_要件定義書 4章・7章</t>
        </is>
      </c>
      <c r="K65" s="12" t="inlineStr">
        <is>
          <t>手動</t>
        </is>
      </c>
      <c r="L65" s="12" t="n"/>
      <c r="M65" s="12" t="inlineStr">
        <is>
          <t>OK</t>
        </is>
      </c>
      <c r="N65" s="23" t="n">
        <v>46310</v>
      </c>
      <c r="O65" s="12" t="inlineStr">
        <is>
          <t>佐々木</t>
        </is>
      </c>
      <c r="P65" s="12" t="n"/>
      <c r="Q65" s="15" t="inlineStr">
        <is>
          <t>45_テストエビデンス_総合.xlsx／ST-12</t>
        </is>
      </c>
      <c r="R65" s="12" t="n"/>
      <c r="S65" s="12" t="n"/>
      <c r="T65" s="12" t="n"/>
    </row>
    <row r="66" ht="40.5" customHeight="1">
      <c r="A66" s="12" t="inlineStr">
        <is>
          <t>ST-12-04</t>
        </is>
      </c>
      <c r="B66" s="12" t="inlineStr">
        <is>
          <t>ST-12 イベント・利用者の管理に関する業務ルールで操作が拒否される</t>
        </is>
      </c>
      <c r="C66" s="12" t="inlineStr">
        <is>
          <t>異常系</t>
        </is>
      </c>
      <c r="D66" s="12" t="inlineStr">
        <is>
          <t>ST-12 イベント・利用者の管理に関する業務ルールで操作が拒否される</t>
        </is>
      </c>
      <c r="E66" s="12" t="inlineStr">
        <is>
          <t>前のステップの結果</t>
        </is>
      </c>
      <c r="F66" s="12" t="inlineStr">
        <is>
          <t>【管理者】自分のSC-141（/admin/users/2）で「管理者権限を外す」を押し、確認でOKを押す</t>
        </is>
      </c>
      <c r="G66" s="12" t="inlineStr">
        <is>
          <t>「最後の管理者は降格できません」が表示される</t>
        </is>
      </c>
      <c r="H66" s="12" t="inlineStr">
        <is>
          <t>ID=2のusers.role_codeは2のまま</t>
        </is>
      </c>
      <c r="I66" s="12" t="inlineStr">
        <is>
          <t>【操作の前と後に実行し、結果が同じことを確認する】
SELECT * FROM users ORDER BY id;</t>
        </is>
      </c>
      <c r="J66" s="12" t="inlineStr">
        <is>
          <t>10_要件定義書 4章・7章</t>
        </is>
      </c>
      <c r="K66" s="12" t="inlineStr">
        <is>
          <t>手動</t>
        </is>
      </c>
      <c r="L66" s="12" t="n"/>
      <c r="M66" s="12" t="inlineStr">
        <is>
          <t>OK</t>
        </is>
      </c>
      <c r="N66" s="23" t="n">
        <v>46310</v>
      </c>
      <c r="O66" s="12" t="inlineStr">
        <is>
          <t>佐々木</t>
        </is>
      </c>
      <c r="P66" s="12" t="n"/>
      <c r="Q66" s="15" t="inlineStr">
        <is>
          <t>45_テストエビデンス_総合.xlsx／ST-12</t>
        </is>
      </c>
      <c r="R66" s="12" t="n"/>
      <c r="S66" s="12" t="n"/>
      <c r="T66" s="12" t="n"/>
    </row>
    <row r="67" ht="40.5" customHeight="1">
      <c r="A67" s="12" t="inlineStr">
        <is>
          <t>ST-12-05</t>
        </is>
      </c>
      <c r="B67" s="12" t="inlineStr">
        <is>
          <t>ST-12 イベント・利用者の管理に関する業務ルールで操作が拒否される</t>
        </is>
      </c>
      <c r="C67" s="12" t="inlineStr">
        <is>
          <t>異常系</t>
        </is>
      </c>
      <c r="D67" s="12" t="inlineStr">
        <is>
          <t>ST-12 イベント・利用者の管理に関する業務ルールで操作が拒否される</t>
        </is>
      </c>
      <c r="E67" s="12" t="inlineStr">
        <is>
          <t>前のステップの結果</t>
        </is>
      </c>
      <c r="F67" s="12" t="inlineStr">
        <is>
          <t>【管理者】自分のSC-141を確認する</t>
        </is>
      </c>
      <c r="G67" s="12" t="inlineStr">
        <is>
          <t>「退会させる」が表示されない（管理者は退会の対象にできない）</t>
        </is>
      </c>
      <c r="H67" s="12" t="inlineStr">
        <is>
          <t>-（参照のみ）</t>
        </is>
      </c>
      <c r="I67" s="12" t="inlineStr">
        <is>
          <t>-</t>
        </is>
      </c>
      <c r="J67" s="12" t="inlineStr">
        <is>
          <t>10_要件定義書 4章・7章</t>
        </is>
      </c>
      <c r="K67" s="12" t="inlineStr">
        <is>
          <t>手動</t>
        </is>
      </c>
      <c r="L67" s="12" t="n"/>
      <c r="M67" s="12" t="inlineStr">
        <is>
          <t>OK</t>
        </is>
      </c>
      <c r="N67" s="23" t="n">
        <v>46310</v>
      </c>
      <c r="O67" s="12" t="inlineStr">
        <is>
          <t>佐々木</t>
        </is>
      </c>
      <c r="P67" s="12" t="inlineStr">
        <is>
          <t>ST-12-04 と同じ画面（自分の利用者詳細、/admin/users/2）で、ボタンが「管理者権限を外す」だけで「退会させる」が表示されていないことを確認した（ST-12-05 用の画像は撮影漏れのため、ST-12-04 の画像を使用）。</t>
        </is>
      </c>
      <c r="Q67" s="15" t="inlineStr">
        <is>
          <t>45_テストエビデンス_総合.xlsx／ST-12</t>
        </is>
      </c>
      <c r="R67" s="12" t="n"/>
      <c r="S67" s="12" t="n"/>
      <c r="T67" s="12" t="n"/>
    </row>
    <row r="68" ht="40.5" customHeight="1">
      <c r="A68" s="12" t="inlineStr">
        <is>
          <t>ST-12-06</t>
        </is>
      </c>
      <c r="B68" s="12" t="inlineStr">
        <is>
          <t>ST-12 イベント・利用者の管理に関する業務ルールで操作が拒否される</t>
        </is>
      </c>
      <c r="C68" s="12" t="inlineStr">
        <is>
          <t>異常系</t>
        </is>
      </c>
      <c r="D68" s="12" t="inlineStr">
        <is>
          <t>ST-12 イベント・利用者の管理に関する業務ルールで操作が拒否される</t>
        </is>
      </c>
      <c r="E68" s="12" t="inlineStr">
        <is>
          <t>前のステップの結果</t>
        </is>
      </c>
      <c r="F68" s="12" t="inlineStr">
        <is>
          <t>【管理者】SC-140で、メールアドレスにgeneral@example.comを入力して「管理者を登録」を押す</t>
        </is>
      </c>
      <c r="G68" s="12" t="inlineStr">
        <is>
          <t>「このメールアドレスは既に登録されています」が表示される</t>
        </is>
      </c>
      <c r="H68" s="12" t="inlineStr">
        <is>
          <t>usersの行数は変わらない</t>
        </is>
      </c>
      <c r="I68" s="12" t="inlineStr">
        <is>
          <t>【操作の前と後に実行し、結果が同じことを確認する】
SELECT * FROM users ORDER BY id;</t>
        </is>
      </c>
      <c r="J68" s="12" t="inlineStr">
        <is>
          <t>10_要件定義書 4章・7章</t>
        </is>
      </c>
      <c r="K68" s="12" t="inlineStr">
        <is>
          <t>手動</t>
        </is>
      </c>
      <c r="L68" s="12" t="n"/>
      <c r="M68" s="12" t="inlineStr">
        <is>
          <t>OK</t>
        </is>
      </c>
      <c r="N68" s="23" t="n">
        <v>46310</v>
      </c>
      <c r="O68" s="12" t="inlineStr">
        <is>
          <t>佐々木</t>
        </is>
      </c>
      <c r="P68" s="12" t="n"/>
      <c r="Q68" s="15" t="inlineStr">
        <is>
          <t>45_テストエビデンス_総合.xlsx／ST-12</t>
        </is>
      </c>
      <c r="R68" s="12" t="n"/>
      <c r="S68" s="12" t="n"/>
      <c r="T68" s="12" t="n"/>
    </row>
    <row r="69" ht="40.5" customHeight="1">
      <c r="A69" s="12" t="inlineStr">
        <is>
          <t>ST-13-01</t>
        </is>
      </c>
      <c r="B69" s="12" t="inlineStr">
        <is>
          <t>ST-13 利用できなくなったアカウントで操作できない</t>
        </is>
      </c>
      <c r="C69" s="12" t="inlineStr">
        <is>
          <t>異常系</t>
        </is>
      </c>
      <c r="D69" s="12" t="inlineStr">
        <is>
          <t>ST-13 利用できなくなったアカウントで操作できない</t>
        </is>
      </c>
      <c r="E69" s="12" t="inlineStr">
        <is>
          <t>前のステップの結果</t>
        </is>
      </c>
      <c r="F69" s="12" t="inlineStr">
        <is>
          <t>【一般B】ブラウザ1でgeneral2@example.comとしてログインし、SC-020を開いたままにする（前提を作る操作）</t>
        </is>
      </c>
      <c r="G69" s="12" t="inlineStr">
        <is>
          <t>SC-020が表示される</t>
        </is>
      </c>
      <c r="H69" s="12" t="inlineStr">
        <is>
          <t>-（参照のみ）</t>
        </is>
      </c>
      <c r="I69" s="12" t="inlineStr">
        <is>
          <t>-</t>
        </is>
      </c>
      <c r="J69" s="12" t="inlineStr">
        <is>
          <t>10_要件定義書 4章・7章</t>
        </is>
      </c>
      <c r="K69" s="12" t="inlineStr">
        <is>
          <t>手動</t>
        </is>
      </c>
      <c r="L69" s="12" t="n"/>
      <c r="M69" s="12" t="inlineStr">
        <is>
          <t>OK</t>
        </is>
      </c>
      <c r="N69" s="23" t="n">
        <v>46310</v>
      </c>
      <c r="O69" s="12" t="inlineStr">
        <is>
          <t>佐々木</t>
        </is>
      </c>
      <c r="P69" s="12" t="n"/>
      <c r="Q69" s="15" t="inlineStr">
        <is>
          <t>45_テストエビデンス_総合.xlsx／ST-13</t>
        </is>
      </c>
      <c r="R69" s="12" t="n"/>
      <c r="S69" s="12" t="n"/>
      <c r="T69" s="12" t="n"/>
    </row>
    <row r="70" ht="27" customHeight="1">
      <c r="A70" s="12" t="inlineStr">
        <is>
          <t>ST-13-02</t>
        </is>
      </c>
      <c r="B70" s="12" t="inlineStr">
        <is>
          <t>ST-13 利用できなくなったアカウントで操作できない</t>
        </is>
      </c>
      <c r="C70" s="12" t="inlineStr">
        <is>
          <t>異常系</t>
        </is>
      </c>
      <c r="D70" s="12" t="inlineStr">
        <is>
          <t>ST-13 利用できなくなったアカウントで操作できない</t>
        </is>
      </c>
      <c r="E70" s="12" t="inlineStr">
        <is>
          <t>前のステップの結果</t>
        </is>
      </c>
      <c r="F70" s="12" t="inlineStr">
        <is>
          <t>【管理者】ブラウザ2で、一般BのSC-141を開き「退会させる」を押して確認でOKを押す</t>
        </is>
      </c>
      <c r="G70" s="12" t="inlineStr">
        <is>
          <t>名前が「退会済み利用者」に変わる</t>
        </is>
      </c>
      <c r="H70" s="12" t="inlineStr">
        <is>
          <t>一般Bのusers.anonymized_atに日時が入り、password_hashがNULLになる</t>
        </is>
      </c>
      <c r="I70" s="12" t="inlineStr">
        <is>
          <t>【操作の前と後に実行し、期待結果のとおりであることを確認する】
SELECT id, name, email, role_code, password_hash, anonymized_at, updated_at FROM users ORDER BY id;</t>
        </is>
      </c>
      <c r="J70" s="12" t="inlineStr">
        <is>
          <t>10_要件定義書 4章・7章</t>
        </is>
      </c>
      <c r="K70" s="12" t="inlineStr">
        <is>
          <t>手動</t>
        </is>
      </c>
      <c r="L70" s="12" t="n"/>
      <c r="M70" s="12" t="inlineStr">
        <is>
          <t>OK</t>
        </is>
      </c>
      <c r="N70" s="23" t="n">
        <v>46310</v>
      </c>
      <c r="O70" s="12" t="inlineStr">
        <is>
          <t>佐々木</t>
        </is>
      </c>
      <c r="P70" s="12" t="n"/>
      <c r="Q70" s="15" t="inlineStr">
        <is>
          <t>45_テストエビデンス_総合.xlsx／ST-13</t>
        </is>
      </c>
      <c r="R70" s="12" t="n"/>
      <c r="S70" s="12" t="n"/>
      <c r="T70" s="12" t="n"/>
    </row>
    <row r="71" ht="27" customHeight="1">
      <c r="A71" s="12" t="inlineStr">
        <is>
          <t>ST-13-03</t>
        </is>
      </c>
      <c r="B71" s="12" t="inlineStr">
        <is>
          <t>ST-13 利用できなくなったアカウントで操作できない</t>
        </is>
      </c>
      <c r="C71" s="12" t="inlineStr">
        <is>
          <t>異常系</t>
        </is>
      </c>
      <c r="D71" s="12" t="inlineStr">
        <is>
          <t>ST-13 利用できなくなったアカウントで操作できない</t>
        </is>
      </c>
      <c r="E71" s="12" t="inlineStr">
        <is>
          <t>前のステップの結果</t>
        </is>
      </c>
      <c r="F71" s="12" t="inlineStr">
        <is>
          <t>【一般B】ブラウザ1で、共通ナビゲーションの「マイページ」を押す</t>
        </is>
      </c>
      <c r="G71" s="12" t="inlineStr">
        <is>
          <t>SC-010へ遷移する（ログイン状態が解除される）</t>
        </is>
      </c>
      <c r="H71" s="12" t="inlineStr">
        <is>
          <t>-（参照のみ）</t>
        </is>
      </c>
      <c r="I71" s="12" t="inlineStr">
        <is>
          <t>-</t>
        </is>
      </c>
      <c r="J71" s="12" t="inlineStr">
        <is>
          <t>10_要件定義書 4章・7章</t>
        </is>
      </c>
      <c r="K71" s="12" t="inlineStr">
        <is>
          <t>手動</t>
        </is>
      </c>
      <c r="L71" s="12" t="n"/>
      <c r="M71" s="12" t="inlineStr">
        <is>
          <t>OK</t>
        </is>
      </c>
      <c r="N71" s="23" t="n">
        <v>46310</v>
      </c>
      <c r="O71" s="12" t="inlineStr">
        <is>
          <t>佐々木</t>
        </is>
      </c>
      <c r="P71" s="12" t="inlineStr">
        <is>
          <t>一般B のタブ（退会前から開いていたイベント一覧）で「マイページ」を押すと、API が401を返し、ログイン画面に遷移した。</t>
        </is>
      </c>
      <c r="Q71" s="15" t="inlineStr">
        <is>
          <t>45_テストエビデンス_総合.xlsx／ST-13</t>
        </is>
      </c>
      <c r="R71" s="12" t="n"/>
      <c r="S71" s="12" t="n"/>
      <c r="T71" s="12" t="n"/>
    </row>
    <row r="72" ht="40.5" customHeight="1">
      <c r="A72" s="12" t="inlineStr">
        <is>
          <t>ST-13-04</t>
        </is>
      </c>
      <c r="B72" s="12" t="inlineStr">
        <is>
          <t>ST-13 利用できなくなったアカウントで操作できない</t>
        </is>
      </c>
      <c r="C72" s="12" t="inlineStr">
        <is>
          <t>異常系</t>
        </is>
      </c>
      <c r="D72" s="12" t="inlineStr">
        <is>
          <t>ST-13 利用できなくなったアカウントで操作できない</t>
        </is>
      </c>
      <c r="E72" s="12" t="inlineStr">
        <is>
          <t>前のステップの結果</t>
        </is>
      </c>
      <c r="F72" s="12" t="inlineStr">
        <is>
          <t>【一般B】SC-010でgeneral2@example.comとTest1234を入力し「ログイン」を押す</t>
        </is>
      </c>
      <c r="G72" s="12" t="inlineStr">
        <is>
          <t>「ログインできませんでした。…」が表示され、ログインできない</t>
        </is>
      </c>
      <c r="H72" s="12" t="inlineStr">
        <is>
          <t>-（参照のみ）</t>
        </is>
      </c>
      <c r="I72" s="12" t="inlineStr">
        <is>
          <t>-</t>
        </is>
      </c>
      <c r="J72" s="12" t="inlineStr">
        <is>
          <t>10_要件定義書 4章・7章</t>
        </is>
      </c>
      <c r="K72" s="12" t="inlineStr">
        <is>
          <t>手動</t>
        </is>
      </c>
      <c r="L72" s="12" t="n"/>
      <c r="M72" s="12" t="inlineStr">
        <is>
          <t>OK</t>
        </is>
      </c>
      <c r="N72" s="23" t="n">
        <v>46310</v>
      </c>
      <c r="O72" s="12" t="inlineStr">
        <is>
          <t>佐々木</t>
        </is>
      </c>
      <c r="P72" s="12" t="n"/>
      <c r="Q72" s="15" t="inlineStr">
        <is>
          <t>45_テストエビデンス_総合.xlsx／ST-13</t>
        </is>
      </c>
      <c r="R72" s="12" t="n"/>
      <c r="S72" s="12" t="n"/>
      <c r="T72" s="12" t="n"/>
    </row>
    <row r="73" ht="40.5" customHeight="1">
      <c r="A73" s="12" t="inlineStr">
        <is>
          <t>ST-13-05</t>
        </is>
      </c>
      <c r="B73" s="12" t="inlineStr">
        <is>
          <t>ST-13 利用できなくなったアカウントで操作できない</t>
        </is>
      </c>
      <c r="C73" s="12" t="inlineStr">
        <is>
          <t>異常系</t>
        </is>
      </c>
      <c r="D73" s="12" t="inlineStr">
        <is>
          <t>ST-13 利用できなくなったアカウントで操作できない</t>
        </is>
      </c>
      <c r="E73" s="12" t="inlineStr">
        <is>
          <t>前のステップの結果</t>
        </is>
      </c>
      <c r="F73" s="12" t="inlineStr">
        <is>
          <t>【一般B】SC-010の新規登録欄で、general2@example.comと新しいパスワードを入力して「登録してログイン」を押す</t>
        </is>
      </c>
      <c r="G73" s="12" t="inlineStr">
        <is>
          <t>SC-020へ遷移する（同じメールアドレスで、新しい利用者として登録し直せる）</t>
        </is>
      </c>
      <c r="H73" s="12" t="inlineStr">
        <is>
          <t>usersにgeneral2@example.comの新しい行が追加される。退会済みの行（withdrawn-{id}@invalid.example）は残る</t>
        </is>
      </c>
      <c r="I73" s="12" t="inlineStr">
        <is>
          <t>【操作の前と後に実行し、期待結果のとおりであることを確認する】
SELECT id, name, email, role_code, password_hash, anonymized_at, updated_at FROM users ORDER BY id;</t>
        </is>
      </c>
      <c r="J73" s="12" t="inlineStr">
        <is>
          <t>10_要件定義書 4章・7章</t>
        </is>
      </c>
      <c r="K73" s="12" t="inlineStr">
        <is>
          <t>手動</t>
        </is>
      </c>
      <c r="L73" s="12" t="n"/>
      <c r="M73" s="12" t="inlineStr">
        <is>
          <t>OK</t>
        </is>
      </c>
      <c r="N73" s="23" t="n">
        <v>46310</v>
      </c>
      <c r="O73" s="12" t="inlineStr">
        <is>
          <t>佐々木</t>
        </is>
      </c>
      <c r="P73" s="12" t="n"/>
      <c r="Q73" s="15" t="inlineStr">
        <is>
          <t>45_テストエビデンス_総合.xlsx／ST-13</t>
        </is>
      </c>
      <c r="R73" s="12" t="n"/>
      <c r="S73" s="12" t="n"/>
      <c r="T73" s="12" t="n"/>
    </row>
    <row r="74" ht="27" customHeight="1">
      <c r="A74" s="12" t="inlineStr">
        <is>
          <t>ST-NF-N01</t>
        </is>
      </c>
      <c r="B74" s="12" t="inlineStr">
        <is>
          <t>非機能：同時申込の排他制御（自動）</t>
        </is>
      </c>
      <c r="C74" s="12" t="inlineStr">
        <is>
          <t>正常系</t>
        </is>
      </c>
      <c r="D74" s="12" t="inlineStr">
        <is>
          <t>同時申込の排他制御（自動）</t>
        </is>
      </c>
      <c r="E74" s="12" t="inlineStr">
        <is>
          <t>-</t>
        </is>
      </c>
      <c r="F74" s="12" t="inlineStr">
        <is>
          <t>定員1のイベントに、複数の利用者から同時に申込のAPIを呼ぶ</t>
        </is>
      </c>
      <c r="G74" s="12" t="inlineStr">
        <is>
          <t>受付済（status_code=1）は1件だけで、残りはキャンセル待ち（status_code=2）になる</t>
        </is>
      </c>
      <c r="H74" s="12" t="inlineStr">
        <is>
          <t>-</t>
        </is>
      </c>
      <c r="I74" s="12" t="inlineStr">
        <is>
          <t>-</t>
        </is>
      </c>
      <c r="J74" s="12" t="inlineStr">
        <is>
          <t>24_方式設計書7章、10_要件定義書10.3</t>
        </is>
      </c>
      <c r="K74" s="12" t="inlineStr">
        <is>
          <t>自動</t>
        </is>
      </c>
      <c r="L74" s="12" t="inlineStr">
        <is>
          <t>o01_同時に申し込んでも定員を超えて受付済にならない</t>
        </is>
      </c>
      <c r="M74" s="12" t="inlineStr">
        <is>
          <t>OK</t>
        </is>
      </c>
      <c r="N74" s="23" t="n">
        <v>46302</v>
      </c>
      <c r="O74" s="12" t="inlineStr">
        <is>
          <t>佐々木（Claude Code）</t>
        </is>
      </c>
      <c r="P74" s="12" t="inlineStr">
        <is>
          <t>自動テスト成功</t>
        </is>
      </c>
      <c r="Q74" s="12" t="inlineStr">
        <is>
          <t>evidence/ST/ST_非機能_結果一覧_20261007.txt</t>
        </is>
      </c>
      <c r="R74" s="12" t="n"/>
      <c r="S74" s="12" t="n"/>
      <c r="T74" s="12" t="n"/>
    </row>
    <row r="75" ht="67.5" customHeight="1">
      <c r="A75" s="12" t="inlineStr">
        <is>
          <t>ST-NF-N02</t>
        </is>
      </c>
      <c r="B75" s="12" t="inlineStr">
        <is>
          <t>非機能：同時申込の排他制御（実環境）</t>
        </is>
      </c>
      <c r="C75" s="12" t="inlineStr">
        <is>
          <t>正常系</t>
        </is>
      </c>
      <c r="D75" s="12" t="inlineStr">
        <is>
          <t>同時申込の排他制御（実環境）</t>
        </is>
      </c>
      <c r="E75" s="12" t="inlineStr">
        <is>
          <t>-</t>
        </is>
      </c>
      <c r="F75" s="12" t="inlineStr">
        <is>
          <t>TD-02（定員1、申込なし）のSC-022を、一般Aと一般Bがそれぞれのブラウザで開き、できるだけ同時に「申し込む」を押す</t>
        </is>
      </c>
      <c r="G75" s="12" t="inlineStr">
        <is>
          <t>一方のSC-023に「受付済」、もう一方に「キャンセル待ち」が表示される。SELECT status_code, COUNT(*) FROM applications WHERE event_id = TD-02のID GROUP BY status_codeの結果が、1が1件・2が1件になる</t>
        </is>
      </c>
      <c r="H75" s="12" t="inlineStr">
        <is>
          <t>-</t>
        </is>
      </c>
      <c r="I75" s="12" t="inlineStr">
        <is>
          <t>-</t>
        </is>
      </c>
      <c r="J75" s="12" t="inlineStr">
        <is>
          <t>24_方式設計書7章</t>
        </is>
      </c>
      <c r="K75" s="12" t="inlineStr">
        <is>
          <t>手動</t>
        </is>
      </c>
      <c r="L75" s="12" t="n"/>
      <c r="M75" s="12" t="inlineStr">
        <is>
          <t>OK</t>
        </is>
      </c>
      <c r="N75" s="23" t="n">
        <v>46310</v>
      </c>
      <c r="O75" s="12" t="inlineStr">
        <is>
          <t>佐々木</t>
        </is>
      </c>
      <c r="P75" s="12" t="inlineStr">
        <is>
          <t>一般A（10:01:11）が受付済、一般B（10:01:13）がキャンセル待ちになった。applications の event_id=53 は status_code 1 が1件・2 が1件。</t>
        </is>
      </c>
      <c r="Q75" s="15" t="inlineStr">
        <is>
          <t>45_テストエビデンス_総合.xlsx／非機能</t>
        </is>
      </c>
      <c r="R75" s="12" t="n"/>
      <c r="S75" s="12" t="n"/>
      <c r="T75" s="12" t="n"/>
    </row>
    <row r="76" ht="27" customHeight="1">
      <c r="A76" s="12" t="inlineStr">
        <is>
          <t>ST-NF-N03</t>
        </is>
      </c>
      <c r="B76" s="12" t="inlineStr">
        <is>
          <t>非機能：回数制限の対象外（参照）</t>
        </is>
      </c>
      <c r="C76" s="12" t="inlineStr">
        <is>
          <t>正常系</t>
        </is>
      </c>
      <c r="D76" s="12" t="inlineStr">
        <is>
          <t>回数制限の対象外（参照）</t>
        </is>
      </c>
      <c r="E76" s="12" t="inlineStr">
        <is>
          <t>-</t>
        </is>
      </c>
      <c r="F76" s="12" t="inlineStr">
        <is>
          <t>同じ端末からGET /api/eventsを60秒以内に61回呼ぶ</t>
        </is>
      </c>
      <c r="G76" s="12" t="inlineStr">
        <is>
          <t>61回すべてが200になる</t>
        </is>
      </c>
      <c r="H76" s="12" t="inlineStr">
        <is>
          <t>-</t>
        </is>
      </c>
      <c r="I76" s="12" t="inlineStr">
        <is>
          <t>-</t>
        </is>
      </c>
      <c r="J76" s="12" t="inlineStr">
        <is>
          <t>23_API基本設計書2.7</t>
        </is>
      </c>
      <c r="K76" s="12" t="inlineStr">
        <is>
          <t>手動</t>
        </is>
      </c>
      <c r="L76" s="12" t="n"/>
      <c r="M76" s="12" t="inlineStr">
        <is>
          <t>OK</t>
        </is>
      </c>
      <c r="N76" s="23" t="n">
        <v>46310</v>
      </c>
      <c r="O76" s="12" t="inlineStr">
        <is>
          <t>佐々木</t>
        </is>
      </c>
      <c r="P76" s="12" t="inlineStr">
        <is>
          <t>61回の呼び出しをスクリプトで連続して行い（約15秒）、61回すべて200だった。結果の一覧を証跡に貼付。</t>
        </is>
      </c>
      <c r="Q76" s="15" t="inlineStr">
        <is>
          <t>45_テストエビデンス_総合.xlsx／非機能</t>
        </is>
      </c>
      <c r="R76" s="12" t="n"/>
      <c r="S76" s="12" t="n"/>
      <c r="T76" s="12" t="n"/>
    </row>
    <row r="77" ht="27" customHeight="1">
      <c r="A77" s="12" t="inlineStr">
        <is>
          <t>ST-NF-N04</t>
        </is>
      </c>
      <c r="B77" s="12" t="inlineStr">
        <is>
          <t>非機能：ページ全体を再読み込みしない画面遷移</t>
        </is>
      </c>
      <c r="C77" s="12" t="inlineStr">
        <is>
          <t>正常系</t>
        </is>
      </c>
      <c r="D77" s="12" t="inlineStr">
        <is>
          <t>ページ全体を再読み込みしない画面遷移</t>
        </is>
      </c>
      <c r="E77" s="12" t="inlineStr">
        <is>
          <t>-</t>
        </is>
      </c>
      <c r="F77" s="12" t="inlineStr">
        <is>
          <t>ログイン後、共通ナビゲーションで画面を3つ切り替える</t>
        </is>
      </c>
      <c r="G77" s="12" t="inlineStr">
        <is>
          <t>Networkタブに、HTML（ドキュメント）の再取得が発生しない</t>
        </is>
      </c>
      <c r="H77" s="12" t="inlineStr">
        <is>
          <t>-</t>
        </is>
      </c>
      <c r="I77" s="12" t="inlineStr">
        <is>
          <t>-</t>
        </is>
      </c>
      <c r="J77" s="12" t="inlineStr">
        <is>
          <t>24_方式設計書2.1</t>
        </is>
      </c>
      <c r="K77" s="12" t="inlineStr">
        <is>
          <t>手動</t>
        </is>
      </c>
      <c r="L77" s="12" t="n"/>
      <c r="M77" s="12" t="inlineStr">
        <is>
          <t>OK</t>
        </is>
      </c>
      <c r="N77" s="23" t="n">
        <v>46310</v>
      </c>
      <c r="O77" s="12" t="inlineStr">
        <is>
          <t>佐々木</t>
        </is>
      </c>
      <c r="P77" s="12" t="inlineStr">
        <is>
          <t>Network タブを Doc で絞り込み、画面を3つ切り替えた後も Doc の行は0件だった。</t>
        </is>
      </c>
      <c r="Q77" s="15" t="inlineStr">
        <is>
          <t>45_テストエビデンス_総合.xlsx／非機能</t>
        </is>
      </c>
      <c r="R77" s="12" t="n"/>
      <c r="S77" s="12" t="n"/>
      <c r="T77" s="12" t="n"/>
    </row>
    <row r="78" ht="27" customHeight="1">
      <c r="A78" s="12" t="inlineStr">
        <is>
          <t>ST-NF-N05</t>
        </is>
      </c>
      <c r="B78" s="12" t="inlineStr">
        <is>
          <t>非機能：削除しても履歴が残る</t>
        </is>
      </c>
      <c r="C78" s="12" t="inlineStr">
        <is>
          <t>正常系</t>
        </is>
      </c>
      <c r="D78" s="12" t="inlineStr">
        <is>
          <t>削除しても履歴が残る</t>
        </is>
      </c>
      <c r="E78" s="12" t="inlineStr">
        <is>
          <t>-</t>
        </is>
      </c>
      <c r="F78" s="12" t="inlineStr">
        <is>
          <t>キャンセル待ちの申込だけがあるイベントをSC-120で削除し、データベースを確認する</t>
        </is>
      </c>
      <c r="G78" s="12" t="inlineStr">
        <is>
          <t>eventsの行が残りdeleted_atに日時が入っている。そのイベントのapplicationsの行も残っている</t>
        </is>
      </c>
      <c r="H78" s="12" t="inlineStr">
        <is>
          <t>-</t>
        </is>
      </c>
      <c r="I78" s="12" t="inlineStr">
        <is>
          <t>-</t>
        </is>
      </c>
      <c r="J78" s="12" t="inlineStr">
        <is>
          <t>22_テーブル定義書6章</t>
        </is>
      </c>
      <c r="K78" s="12" t="inlineStr">
        <is>
          <t>手動</t>
        </is>
      </c>
      <c r="L78" s="12" t="n"/>
      <c r="M78" s="12" t="inlineStr">
        <is>
          <t>OK</t>
        </is>
      </c>
      <c r="N78" s="23" t="n">
        <v>46310</v>
      </c>
      <c r="O78" s="12" t="inlineStr">
        <is>
          <t>佐々木</t>
        </is>
      </c>
      <c r="P78" s="12" t="inlineStr">
        <is>
          <t>キャンセル待ちだけの状態は画面から作れない（受付済がキャンセルすると繰り上がる）ため、SQLで受付済の申込（ID=2）をキャンセル済（9）に変えてから、定員1テストを削除した。events の行は残り deleted_at に日時が入り、申込2件も残った。</t>
        </is>
      </c>
      <c r="Q78" s="15" t="inlineStr">
        <is>
          <t>45_テストエビデンス_総合.xlsx／非機能</t>
        </is>
      </c>
      <c r="R78" s="12" t="n"/>
      <c r="S78" s="12" t="n"/>
      <c r="T78" s="12" t="n"/>
    </row>
    <row r="79" ht="54" customHeight="1">
      <c r="A79" s="12" t="inlineStr">
        <is>
          <t>ST-NF-N06</t>
        </is>
      </c>
      <c r="B79" s="12" t="inlineStr">
        <is>
          <t>非機能：パスワードが復元できない形で保存される</t>
        </is>
      </c>
      <c r="C79" s="12" t="inlineStr">
        <is>
          <t>正常系</t>
        </is>
      </c>
      <c r="D79" s="12" t="inlineStr">
        <is>
          <t>パスワードが復元できない形で保存される</t>
        </is>
      </c>
      <c r="E79" s="12" t="inlineStr">
        <is>
          <t>-</t>
        </is>
      </c>
      <c r="F79" s="12" t="inlineStr">
        <is>
          <t>SC-010で新規登録（パスワードTest1234）した後、SELECT password_hash FROM users WHERE email = 登録したメールアドレスを実行する</t>
        </is>
      </c>
      <c r="G79" s="12" t="inlineStr">
        <is>
          <t>値がTest1234ではなく、$2a$で始まるハッシュ値になっている</t>
        </is>
      </c>
      <c r="H79" s="12" t="inlineStr">
        <is>
          <t>-</t>
        </is>
      </c>
      <c r="I79" s="12" t="inlineStr">
        <is>
          <t>-</t>
        </is>
      </c>
      <c r="J79" s="12" t="inlineStr">
        <is>
          <t>24_方式設計書3.1</t>
        </is>
      </c>
      <c r="K79" s="12" t="inlineStr">
        <is>
          <t>手動</t>
        </is>
      </c>
      <c r="L79" s="12" t="n"/>
      <c r="M79" s="12" t="inlineStr">
        <is>
          <t>OK</t>
        </is>
      </c>
      <c r="N79" s="23" t="n">
        <v>46310</v>
      </c>
      <c r="O79" s="12" t="inlineStr">
        <is>
          <t>佐々木</t>
        </is>
      </c>
      <c r="P79" s="12" t="inlineStr">
        <is>
          <t>nf-user@example.com の password_hash は「$2a$10$...」のハッシュ値で、Test1234 ではなかった。</t>
        </is>
      </c>
      <c r="Q79" s="15" t="inlineStr">
        <is>
          <t>45_テストエビデンス_総合.xlsx／非機能</t>
        </is>
      </c>
      <c r="R79" s="12" t="n"/>
      <c r="S79" s="12" t="n"/>
      <c r="T79" s="12" t="n"/>
    </row>
    <row r="80" ht="27" customHeight="1">
      <c r="A80" s="12" t="inlineStr">
        <is>
          <t>ST-NF-N07</t>
        </is>
      </c>
      <c r="B80" s="12" t="inlineStr">
        <is>
          <t>非機能：実行者が残らない操作がログに出力される</t>
        </is>
      </c>
      <c r="C80" s="12" t="inlineStr">
        <is>
          <t>正常系</t>
        </is>
      </c>
      <c r="D80" s="12" t="inlineStr">
        <is>
          <t>実行者が残らない操作がログに出力される</t>
        </is>
      </c>
      <c r="E80" s="12" t="inlineStr">
        <is>
          <t>-</t>
        </is>
      </c>
      <c r="F80" s="12" t="inlineStr">
        <is>
          <t>管理者でイベントを1件登録し、バックエンドのログを確認する</t>
        </is>
      </c>
      <c r="G80" s="12" t="inlineStr">
        <is>
          <t>INFOで「イベント登録完了 eventId=… 実行者userId=2」が出力されている</t>
        </is>
      </c>
      <c r="H80" s="12" t="inlineStr">
        <is>
          <t>-</t>
        </is>
      </c>
      <c r="I80" s="12" t="inlineStr">
        <is>
          <t>-</t>
        </is>
      </c>
      <c r="J80" s="12" t="inlineStr">
        <is>
          <t>33_共通詳細設計書6.1</t>
        </is>
      </c>
      <c r="K80" s="12" t="inlineStr">
        <is>
          <t>手動</t>
        </is>
      </c>
      <c r="L80" s="12" t="n"/>
      <c r="M80" s="12" t="inlineStr">
        <is>
          <t>OK</t>
        </is>
      </c>
      <c r="N80" s="23" t="n">
        <v>46310</v>
      </c>
      <c r="O80" s="12" t="inlineStr">
        <is>
          <t>佐々木</t>
        </is>
      </c>
      <c r="P80" s="12" t="inlineStr">
        <is>
          <t>INFO「イベント登録完了 eventId=57 実行者userId=2」が出力されていた。</t>
        </is>
      </c>
      <c r="Q80" s="15" t="inlineStr">
        <is>
          <t>45_テストエビデンス_総合.xlsx／非機能</t>
        </is>
      </c>
      <c r="R80" s="12" t="n"/>
      <c r="S80" s="12" t="n"/>
      <c r="T80" s="12" t="n"/>
    </row>
    <row r="81" ht="40.5" customHeight="1">
      <c r="A81" s="12" t="inlineStr">
        <is>
          <t>ST-NF-N08</t>
        </is>
      </c>
      <c r="B81" s="12" t="inlineStr">
        <is>
          <t>非機能：データベースで確認できる操作はログに出力されない</t>
        </is>
      </c>
      <c r="C81" s="12" t="inlineStr">
        <is>
          <t>正常系</t>
        </is>
      </c>
      <c r="D81" s="12" t="inlineStr">
        <is>
          <t>データベースで確認できる操作はログに出力されない</t>
        </is>
      </c>
      <c r="E81" s="12" t="inlineStr">
        <is>
          <t>-</t>
        </is>
      </c>
      <c r="F81" s="12" t="inlineStr">
        <is>
          <t>一般Aでイベントに申し込み、バックエンドのログを確認する</t>
        </is>
      </c>
      <c r="G81" s="12" t="inlineStr">
        <is>
          <t>申込の成功を示すINFOのログが出力されていない</t>
        </is>
      </c>
      <c r="H81" s="12" t="inlineStr">
        <is>
          <t>-</t>
        </is>
      </c>
      <c r="I81" s="12" t="inlineStr">
        <is>
          <t>-</t>
        </is>
      </c>
      <c r="J81" s="12" t="inlineStr">
        <is>
          <t>24_方式設計書6.2</t>
        </is>
      </c>
      <c r="K81" s="12" t="inlineStr">
        <is>
          <t>手動</t>
        </is>
      </c>
      <c r="L81" s="12" t="n"/>
      <c r="M81" s="12" t="inlineStr">
        <is>
          <t>OK</t>
        </is>
      </c>
      <c r="N81" s="23" t="n">
        <v>46310</v>
      </c>
      <c r="O81" s="12" t="inlineStr">
        <is>
          <t>佐々木</t>
        </is>
      </c>
      <c r="P81" s="12" t="inlineStr">
        <is>
          <t>一般A が 10:55:12 に申し込んだ（データベースで確認）が、申込の成功を示すログは出力されていない。</t>
        </is>
      </c>
      <c r="Q81" s="15" t="inlineStr">
        <is>
          <t>45_テストエビデンス_総合.xlsx／非機能</t>
        </is>
      </c>
      <c r="R81" s="12" t="n"/>
      <c r="S81" s="12" t="n"/>
      <c r="T81" s="12" t="n"/>
    </row>
    <row r="82" ht="27" customHeight="1">
      <c r="A82" s="12" t="inlineStr">
        <is>
          <t>ST-NF-E01</t>
        </is>
      </c>
      <c r="B82" s="12" t="inlineStr">
        <is>
          <t>非機能：回数制限（書き込み）</t>
        </is>
      </c>
      <c r="C82" s="12" t="inlineStr">
        <is>
          <t>正常系</t>
        </is>
      </c>
      <c r="D82" s="12" t="inlineStr">
        <is>
          <t>回数制限（書き込み）</t>
        </is>
      </c>
      <c r="E82" s="12" t="inlineStr">
        <is>
          <t>-</t>
        </is>
      </c>
      <c r="F82" s="12" t="inlineStr">
        <is>
          <t>同じ端末からPOST /api/favoritesを60秒以内に61回呼ぶ</t>
        </is>
      </c>
      <c r="G82" s="12" t="inlineStr">
        <is>
          <t>61回目が429「リクエストが多すぎます。しばらく時間をおいて再度お試しください」（E-R-001）になる</t>
        </is>
      </c>
      <c r="H82" s="12" t="inlineStr">
        <is>
          <t>-</t>
        </is>
      </c>
      <c r="I82" s="12" t="inlineStr">
        <is>
          <t>-</t>
        </is>
      </c>
      <c r="J82" s="12" t="inlineStr">
        <is>
          <t>24_方式設計書8章</t>
        </is>
      </c>
      <c r="K82" s="12" t="inlineStr">
        <is>
          <t>手動</t>
        </is>
      </c>
      <c r="L82" s="12" t="n"/>
      <c r="M82" s="12" t="inlineStr">
        <is>
          <t>OK</t>
        </is>
      </c>
      <c r="N82" s="23" t="n">
        <v>46310</v>
      </c>
      <c r="O82" s="12" t="inlineStr">
        <is>
          <t>佐々木</t>
        </is>
      </c>
      <c r="P82" s="12" t="inlineStr">
        <is>
          <t>60秒以上書き込みが無い状態から、61回の呼び出しをスクリプトで連続して行い、1〜60回目は200、61回目が429「リクエストが多すぎます。しばらく時間をおいて再度お試しください」だった。結果の一覧を証跡に貼付。</t>
        </is>
      </c>
      <c r="Q82" s="15" t="inlineStr">
        <is>
          <t>45_テストエビデンス_総合.xlsx／非機能</t>
        </is>
      </c>
      <c r="R82" s="12" t="n"/>
      <c r="S82" s="12" t="n"/>
      <c r="T82" s="12" t="n"/>
    </row>
    <row r="83" ht="27" customHeight="1">
      <c r="A83" s="12" t="inlineStr">
        <is>
          <t>ST-NF-E02</t>
        </is>
      </c>
      <c r="B83" s="12" t="inlineStr">
        <is>
          <t>非機能：スクリプトの埋め込み（コメント）</t>
        </is>
      </c>
      <c r="C83" s="12" t="inlineStr">
        <is>
          <t>正常系</t>
        </is>
      </c>
      <c r="D83" s="12" t="inlineStr">
        <is>
          <t>スクリプトの埋め込み（コメント）</t>
        </is>
      </c>
      <c r="E83" s="12" t="inlineStr">
        <is>
          <t>-</t>
        </is>
      </c>
      <c r="F83" s="12" t="inlineStr">
        <is>
          <t>コメントに&lt;script&gt;alert(1)&lt;/script&gt;を投稿し、SC-022とSC-150で表示する</t>
        </is>
      </c>
      <c r="G83" s="12" t="inlineStr">
        <is>
          <t>文字列としてそのまま表示され、ダイアログが出ない（スクリプトが実行されない）</t>
        </is>
      </c>
      <c r="H83" s="12" t="inlineStr">
        <is>
          <t>-</t>
        </is>
      </c>
      <c r="I83" s="12" t="inlineStr">
        <is>
          <t>-</t>
        </is>
      </c>
      <c r="J83" s="12" t="inlineStr">
        <is>
          <t>24_方式設計書8章</t>
        </is>
      </c>
      <c r="K83" s="12" t="inlineStr">
        <is>
          <t>手動</t>
        </is>
      </c>
      <c r="L83" s="12" t="n"/>
      <c r="M83" s="12" t="inlineStr">
        <is>
          <t>OK</t>
        </is>
      </c>
      <c r="N83" s="23" t="n">
        <v>46310</v>
      </c>
      <c r="O83" s="12" t="inlineStr">
        <is>
          <t>佐々木</t>
        </is>
      </c>
      <c r="P83" s="12" t="n"/>
      <c r="Q83" s="15" t="inlineStr">
        <is>
          <t>45_テストエビデンス_総合.xlsx／非機能</t>
        </is>
      </c>
      <c r="R83" s="12" t="n"/>
      <c r="S83" s="12" t="n"/>
      <c r="T83" s="12" t="n"/>
    </row>
    <row r="84" ht="40.5" customHeight="1">
      <c r="A84" s="12" t="inlineStr">
        <is>
          <t>ST-NF-E03</t>
        </is>
      </c>
      <c r="B84" s="12" t="inlineStr">
        <is>
          <t>非機能：スクリプトの埋め込み（イベント名）</t>
        </is>
      </c>
      <c r="C84" s="12" t="inlineStr">
        <is>
          <t>正常系</t>
        </is>
      </c>
      <c r="D84" s="12" t="inlineStr">
        <is>
          <t>スクリプトの埋め込み（イベント名）</t>
        </is>
      </c>
      <c r="E84" s="12" t="inlineStr">
        <is>
          <t>-</t>
        </is>
      </c>
      <c r="F84" s="12" t="inlineStr">
        <is>
          <t>イベント名を&lt;img src=x onerror=alert(1)&gt;として登録し、SC-020とSC-022で表示する</t>
        </is>
      </c>
      <c r="G84" s="12" t="inlineStr">
        <is>
          <t>文字列としてそのまま表示され、ダイアログが出ない</t>
        </is>
      </c>
      <c r="H84" s="12" t="inlineStr">
        <is>
          <t>-</t>
        </is>
      </c>
      <c r="I84" s="12" t="inlineStr">
        <is>
          <t>-</t>
        </is>
      </c>
      <c r="J84" s="12" t="inlineStr">
        <is>
          <t>24_方式設計書8章</t>
        </is>
      </c>
      <c r="K84" s="12" t="inlineStr">
        <is>
          <t>手動</t>
        </is>
      </c>
      <c r="L84" s="12" t="n"/>
      <c r="M84" s="12" t="inlineStr">
        <is>
          <t>OK</t>
        </is>
      </c>
      <c r="N84" s="23" t="n">
        <v>46310</v>
      </c>
      <c r="O84" s="12" t="inlineStr">
        <is>
          <t>佐々木</t>
        </is>
      </c>
      <c r="P84" s="12" t="n"/>
      <c r="Q84" s="15" t="inlineStr">
        <is>
          <t>45_テストエビデンス_総合.xlsx／非機能</t>
        </is>
      </c>
      <c r="R84" s="12" t="n"/>
      <c r="S84" s="12" t="n"/>
      <c r="T84" s="12" t="n"/>
    </row>
    <row r="85" ht="54" customHeight="1">
      <c r="A85" s="12" t="inlineStr">
        <is>
          <t>ST-NF-E04</t>
        </is>
      </c>
      <c r="B85" s="12" t="inlineStr">
        <is>
          <t>非機能：CSVを開いたときの数式実行</t>
        </is>
      </c>
      <c r="C85" s="12" t="inlineStr">
        <is>
          <t>正常系</t>
        </is>
      </c>
      <c r="D85" s="12" t="inlineStr">
        <is>
          <t>CSVを開いたときの数式実行</t>
        </is>
      </c>
      <c r="E85" s="12" t="inlineStr">
        <is>
          <t>-</t>
        </is>
      </c>
      <c r="F85" s="12" t="inlineStr">
        <is>
          <t>名前を=HYPERLINK("http://example.com")として新規登録した利用者が申し込み、管理者がCSVを出力してExcelで開く</t>
        </is>
      </c>
      <c r="G85" s="12" t="inlineStr">
        <is>
          <t>申込者名のセルの先頭に'が付き、数式として実行されない</t>
        </is>
      </c>
      <c r="H85" s="12" t="inlineStr">
        <is>
          <t>-</t>
        </is>
      </c>
      <c r="I85" s="12" t="inlineStr">
        <is>
          <t>-</t>
        </is>
      </c>
      <c r="J85" s="12" t="inlineStr">
        <is>
          <t>24_方式設計書8章</t>
        </is>
      </c>
      <c r="K85" s="12" t="inlineStr">
        <is>
          <t>手動</t>
        </is>
      </c>
      <c r="L85" s="12" t="n"/>
      <c r="M85" s="12" t="inlineStr">
        <is>
          <t>OK</t>
        </is>
      </c>
      <c r="N85" s="23" t="n">
        <v>46310</v>
      </c>
      <c r="O85" s="12" t="inlineStr">
        <is>
          <t>佐々木</t>
        </is>
      </c>
      <c r="P85" s="12" t="inlineStr">
        <is>
          <t>Excel で申込者名が「'=HYPERLINK(...」と文字列で表示され、数式として実行されなかった。CSVの中身は画面のダウンロードと同じAPI（GET /api/reports/applications?format=csv）で取得して補足として貼付。</t>
        </is>
      </c>
      <c r="Q85" s="15" t="inlineStr">
        <is>
          <t>45_テストエビデンス_総合.xlsx／非機能</t>
        </is>
      </c>
      <c r="R85" s="12" t="n"/>
      <c r="S85" s="12" t="n"/>
      <c r="T85" s="12" t="n"/>
    </row>
    <row r="86" ht="27" customHeight="1">
      <c r="A86" s="12" t="inlineStr">
        <is>
          <t>ST-NF-E05</t>
        </is>
      </c>
      <c r="B86" s="12" t="inlineStr">
        <is>
          <t>非機能：SQLの埋め込み（ログイン）</t>
        </is>
      </c>
      <c r="C86" s="12" t="inlineStr">
        <is>
          <t>正常系</t>
        </is>
      </c>
      <c r="D86" s="12" t="inlineStr">
        <is>
          <t>SQLの埋め込み（ログイン）</t>
        </is>
      </c>
      <c r="E86" s="12" t="inlineStr">
        <is>
          <t>-</t>
        </is>
      </c>
      <c r="F86" s="12" t="inlineStr">
        <is>
          <t>POST /api/loginのemailに' OR '1'='1を指定する</t>
        </is>
      </c>
      <c r="G86" s="12" t="inlineStr">
        <is>
          <t>400（メールアドレスの形式エラー）になり、利用者の情報は返らない</t>
        </is>
      </c>
      <c r="H86" s="12" t="inlineStr">
        <is>
          <t>-</t>
        </is>
      </c>
      <c r="I86" s="12" t="inlineStr">
        <is>
          <t>-</t>
        </is>
      </c>
      <c r="J86" s="12" t="inlineStr">
        <is>
          <t>24_方式設計書8章</t>
        </is>
      </c>
      <c r="K86" s="12" t="inlineStr">
        <is>
          <t>手動</t>
        </is>
      </c>
      <c r="L86" s="12" t="n"/>
      <c r="M86" s="12" t="inlineStr">
        <is>
          <t>OK</t>
        </is>
      </c>
      <c r="N86" s="23" t="n">
        <v>46310</v>
      </c>
      <c r="O86" s="12" t="inlineStr">
        <is>
          <t>佐々木</t>
        </is>
      </c>
      <c r="P86" s="12" t="n"/>
      <c r="Q86" s="15" t="inlineStr">
        <is>
          <t>45_テストエビデンス_総合.xlsx／非機能</t>
        </is>
      </c>
      <c r="R86" s="12" t="n"/>
      <c r="S86" s="12" t="n"/>
      <c r="T86" s="12" t="n"/>
    </row>
    <row r="87" ht="27" customHeight="1">
      <c r="A87" s="12" t="inlineStr">
        <is>
          <t>ST-NF-E06</t>
        </is>
      </c>
      <c r="B87" s="12" t="inlineStr">
        <is>
          <t>非機能：SQLの埋め込み（パス）</t>
        </is>
      </c>
      <c r="C87" s="12" t="inlineStr">
        <is>
          <t>正常系</t>
        </is>
      </c>
      <c r="D87" s="12" t="inlineStr">
        <is>
          <t>SQLの埋め込み（パス）</t>
        </is>
      </c>
      <c r="E87" s="12" t="inlineStr">
        <is>
          <t>-</t>
        </is>
      </c>
      <c r="F87" s="12" t="inlineStr">
        <is>
          <t>GET /api/events/1 OR 1=1を呼ぶ</t>
        </is>
      </c>
      <c r="G87" s="12" t="inlineStr">
        <is>
          <t>400「パラメータの形式が不正です」になり、イベントの情報は返らない</t>
        </is>
      </c>
      <c r="H87" s="12" t="inlineStr">
        <is>
          <t>-</t>
        </is>
      </c>
      <c r="I87" s="12" t="inlineStr">
        <is>
          <t>-</t>
        </is>
      </c>
      <c r="J87" s="12" t="inlineStr">
        <is>
          <t>24_方式設計書8章</t>
        </is>
      </c>
      <c r="K87" s="12" t="inlineStr">
        <is>
          <t>手動</t>
        </is>
      </c>
      <c r="L87" s="12" t="n"/>
      <c r="M87" s="12" t="inlineStr">
        <is>
          <t>OK</t>
        </is>
      </c>
      <c r="N87" s="23" t="n">
        <v>46310</v>
      </c>
      <c r="O87" s="12" t="inlineStr">
        <is>
          <t>佐々木</t>
        </is>
      </c>
      <c r="P87" s="12" t="inlineStr">
        <is>
          <t>ブラウザのアドレスバーから開いた場合は X-User-Id が無いため 401「認証が必要です」になった。X-User-Id: 1 を付けて同じURLを呼ぶと 400「パラメータの形式が不正です」が返り、イベントの情報は返らなかった（補足として貼付）。</t>
        </is>
      </c>
      <c r="Q87" s="15" t="inlineStr">
        <is>
          <t>45_テストエビデンス_総合.xlsx／非機能</t>
        </is>
      </c>
      <c r="R87" s="12" t="n"/>
      <c r="S87" s="12" t="n"/>
      <c r="T87" s="12" t="n"/>
    </row>
    <row r="88" ht="40.5" customHeight="1">
      <c r="A88" s="12" t="inlineStr">
        <is>
          <t>ST-NF-E07</t>
        </is>
      </c>
      <c r="B88" s="12" t="inlineStr">
        <is>
          <t>非機能：ログへのパスワードの出力（ログイン失敗）</t>
        </is>
      </c>
      <c r="C88" s="12" t="inlineStr">
        <is>
          <t>正常系</t>
        </is>
      </c>
      <c r="D88" s="12" t="inlineStr">
        <is>
          <t>ログへのパスワードの出力（ログイン失敗）</t>
        </is>
      </c>
      <c r="E88" s="12" t="inlineStr">
        <is>
          <t>-</t>
        </is>
      </c>
      <c r="F88" s="12" t="inlineStr">
        <is>
          <t>SC-010で、誤ったパスワードWrong1234でログインを試みる。その後、バックエンドのログ全体をWrong1234で検索する</t>
        </is>
      </c>
      <c r="G88" s="12" t="inlineStr">
        <is>
          <t>Wrong1234がログに出力されていない</t>
        </is>
      </c>
      <c r="H88" s="12" t="inlineStr">
        <is>
          <t>-</t>
        </is>
      </c>
      <c r="I88" s="12" t="inlineStr">
        <is>
          <t>-</t>
        </is>
      </c>
      <c r="J88" s="12" t="inlineStr">
        <is>
          <t>24_方式設計書6.4</t>
        </is>
      </c>
      <c r="K88" s="12" t="inlineStr">
        <is>
          <t>手動</t>
        </is>
      </c>
      <c r="L88" s="12" t="n"/>
      <c r="M88" s="12" t="inlineStr">
        <is>
          <t>OK</t>
        </is>
      </c>
      <c r="N88" s="23" t="n">
        <v>46310</v>
      </c>
      <c r="O88" s="12" t="inlineStr">
        <is>
          <t>佐々木</t>
        </is>
      </c>
      <c r="P88" s="12" t="inlineStr">
        <is>
          <t>保存したログ（10:54〜10:57）を Wrong1234 で検索し、0件。ログイン失敗は WARN「ログインできませんでした。…」のみ。</t>
        </is>
      </c>
      <c r="Q88" s="15" t="inlineStr">
        <is>
          <t>45_テストエビデンス_総合.xlsx／非機能</t>
        </is>
      </c>
      <c r="R88" s="12" t="n"/>
      <c r="S88" s="12" t="n"/>
      <c r="T88" s="12" t="n"/>
    </row>
    <row r="89" ht="40.5" customHeight="1">
      <c r="A89" s="12" t="inlineStr">
        <is>
          <t>ST-NF-E08</t>
        </is>
      </c>
      <c r="B89" s="12" t="inlineStr">
        <is>
          <t>非機能：ログへのパスワードの出力（利用者登録）</t>
        </is>
      </c>
      <c r="C89" s="12" t="inlineStr">
        <is>
          <t>正常系</t>
        </is>
      </c>
      <c r="D89" s="12" t="inlineStr">
        <is>
          <t>ログへのパスワードの出力（利用者登録）</t>
        </is>
      </c>
      <c r="E89" s="12" t="inlineStr">
        <is>
          <t>-</t>
        </is>
      </c>
      <c r="F89" s="12" t="inlineStr">
        <is>
          <t>SC-010で、パスワードRegist1234で新規登録する。その後、バックエンドのログ全体をRegist1234で検索する</t>
        </is>
      </c>
      <c r="G89" s="12" t="inlineStr">
        <is>
          <t>Regist1234がログに出力されていない</t>
        </is>
      </c>
      <c r="H89" s="12" t="inlineStr">
        <is>
          <t>-</t>
        </is>
      </c>
      <c r="I89" s="12" t="inlineStr">
        <is>
          <t>-</t>
        </is>
      </c>
      <c r="J89" s="12" t="inlineStr">
        <is>
          <t>24_方式設計書6.4</t>
        </is>
      </c>
      <c r="K89" s="12" t="inlineStr">
        <is>
          <t>手動</t>
        </is>
      </c>
      <c r="L89" s="12" t="n"/>
      <c r="M89" s="12" t="inlineStr">
        <is>
          <t>OK</t>
        </is>
      </c>
      <c r="N89" s="23" t="n">
        <v>46310</v>
      </c>
      <c r="O89" s="12" t="inlineStr">
        <is>
          <t>佐々木</t>
        </is>
      </c>
      <c r="P89" s="12" t="inlineStr">
        <is>
          <t>保存したログを Regist1234 で検索し、0件。</t>
        </is>
      </c>
      <c r="Q89" s="15" t="inlineStr">
        <is>
          <t>45_テストエビデンス_総合.xlsx／非機能</t>
        </is>
      </c>
      <c r="R89" s="12" t="n"/>
      <c r="S89" s="12" t="n"/>
      <c r="T89" s="12" t="n"/>
    </row>
    <row r="90" ht="40.5" customHeight="1">
      <c r="A90" s="12" t="inlineStr">
        <is>
          <t>ST-NF-E09</t>
        </is>
      </c>
      <c r="B90" s="12" t="inlineStr">
        <is>
          <t>非機能：ログへのパスワードの出力（パスワード変更）</t>
        </is>
      </c>
      <c r="C90" s="12" t="inlineStr">
        <is>
          <t>正常系</t>
        </is>
      </c>
      <c r="D90" s="12" t="inlineStr">
        <is>
          <t>ログへのパスワードの出力（パスワード変更）</t>
        </is>
      </c>
      <c r="E90" s="12" t="inlineStr">
        <is>
          <t>-</t>
        </is>
      </c>
      <c r="F90" s="12" t="inlineStr">
        <is>
          <t>SC-011で、新しいパスワードをChange1234にして変更する。その後、バックエンドのログ全体をChange1234で検索する</t>
        </is>
      </c>
      <c r="G90" s="12" t="inlineStr">
        <is>
          <t>Change1234がログに出力されていない</t>
        </is>
      </c>
      <c r="H90" s="12" t="inlineStr">
        <is>
          <t>-</t>
        </is>
      </c>
      <c r="I90" s="12" t="inlineStr">
        <is>
          <t>-</t>
        </is>
      </c>
      <c r="J90" s="12" t="inlineStr">
        <is>
          <t>24_方式設計書6.4</t>
        </is>
      </c>
      <c r="K90" s="12" t="inlineStr">
        <is>
          <t>手動</t>
        </is>
      </c>
      <c r="L90" s="12" t="n"/>
      <c r="M90" s="12" t="inlineStr">
        <is>
          <t>OK</t>
        </is>
      </c>
      <c r="N90" s="23" t="n">
        <v>46310</v>
      </c>
      <c r="O90" s="12" t="inlineStr">
        <is>
          <t>佐々木</t>
        </is>
      </c>
      <c r="P90" s="12" t="inlineStr">
        <is>
          <t>保存したログを Change1234 で検索し、0件。パスワード変更は INFO「パスワード変更完了 userId=8」のみ。</t>
        </is>
      </c>
      <c r="Q90" s="15" t="inlineStr">
        <is>
          <t>45_テストエビデンス_総合.xlsx／非機能</t>
        </is>
      </c>
      <c r="R90" s="12" t="n"/>
      <c r="S90" s="12" t="n"/>
      <c r="T90" s="12" t="n"/>
    </row>
    <row r="91" ht="27" customHeight="1">
      <c r="A91" s="12" t="inlineStr">
        <is>
          <t>ST-NF-E10</t>
        </is>
      </c>
      <c r="B91" s="12" t="inlineStr">
        <is>
          <t>非機能：応答へのパスワードの出力（ログイン）</t>
        </is>
      </c>
      <c r="C91" s="12" t="inlineStr">
        <is>
          <t>正常系</t>
        </is>
      </c>
      <c r="D91" s="12" t="inlineStr">
        <is>
          <t>応答へのパスワードの出力（ログイン）</t>
        </is>
      </c>
      <c r="E91" s="12" t="inlineStr">
        <is>
          <t>-</t>
        </is>
      </c>
      <c r="F91" s="12" t="inlineStr">
        <is>
          <t>Swagger UIでログイン（AP-010）を実行し、応答の本文を確認する</t>
        </is>
      </c>
      <c r="G91" s="12" t="inlineStr">
        <is>
          <t>応答に、パスワード・ハッシュ値の項目が無い</t>
        </is>
      </c>
      <c r="H91" s="12" t="inlineStr">
        <is>
          <t>-</t>
        </is>
      </c>
      <c r="I91" s="12" t="inlineStr">
        <is>
          <t>-</t>
        </is>
      </c>
      <c r="J91" s="12" t="inlineStr">
        <is>
          <t>23_API基本設計書2.10</t>
        </is>
      </c>
      <c r="K91" s="12" t="inlineStr">
        <is>
          <t>手動</t>
        </is>
      </c>
      <c r="L91" s="12" t="n"/>
      <c r="M91" s="12" t="inlineStr">
        <is>
          <t>OK</t>
        </is>
      </c>
      <c r="N91" s="23" t="n">
        <v>46310</v>
      </c>
      <c r="O91" s="12" t="inlineStr">
        <is>
          <t>佐々木</t>
        </is>
      </c>
      <c r="P91" s="12" t="n"/>
      <c r="Q91" s="15" t="inlineStr">
        <is>
          <t>45_テストエビデンス_総合.xlsx／非機能</t>
        </is>
      </c>
      <c r="R91" s="12" t="n"/>
      <c r="S91" s="12" t="n"/>
      <c r="T91" s="12" t="n"/>
    </row>
    <row r="92" ht="27" customHeight="1">
      <c r="A92" s="12" t="inlineStr">
        <is>
          <t>ST-NF-E11</t>
        </is>
      </c>
      <c r="B92" s="12" t="inlineStr">
        <is>
          <t>非機能：応答へのパスワードの出力（利用者登録）</t>
        </is>
      </c>
      <c r="C92" s="12" t="inlineStr">
        <is>
          <t>正常系</t>
        </is>
      </c>
      <c r="D92" s="12" t="inlineStr">
        <is>
          <t>応答へのパスワードの出力（利用者登録）</t>
        </is>
      </c>
      <c r="E92" s="12" t="inlineStr">
        <is>
          <t>-</t>
        </is>
      </c>
      <c r="F92" s="12" t="inlineStr">
        <is>
          <t>Swagger UIで利用者登録（AP-011）を実行し、応答の本文を確認する</t>
        </is>
      </c>
      <c r="G92" s="12" t="inlineStr">
        <is>
          <t>応答に、パスワード・ハッシュ値の項目が無い</t>
        </is>
      </c>
      <c r="H92" s="12" t="inlineStr">
        <is>
          <t>-</t>
        </is>
      </c>
      <c r="I92" s="12" t="inlineStr">
        <is>
          <t>-</t>
        </is>
      </c>
      <c r="J92" s="12" t="inlineStr">
        <is>
          <t>23_API基本設計書2.10</t>
        </is>
      </c>
      <c r="K92" s="12" t="inlineStr">
        <is>
          <t>手動</t>
        </is>
      </c>
      <c r="L92" s="12" t="n"/>
      <c r="M92" s="12" t="inlineStr">
        <is>
          <t>OK</t>
        </is>
      </c>
      <c r="N92" s="23" t="n">
        <v>46310</v>
      </c>
      <c r="O92" s="12" t="inlineStr">
        <is>
          <t>佐々木</t>
        </is>
      </c>
      <c r="P92" s="12" t="n"/>
      <c r="Q92" s="15" t="inlineStr">
        <is>
          <t>45_テストエビデンス_総合.xlsx／非機能</t>
        </is>
      </c>
      <c r="R92" s="12" t="n"/>
      <c r="S92" s="12" t="n"/>
      <c r="T92" s="12" t="n"/>
    </row>
    <row r="93" ht="27" customHeight="1">
      <c r="A93" s="12" t="inlineStr">
        <is>
          <t>ST-NF-E12</t>
        </is>
      </c>
      <c r="B93" s="12" t="inlineStr">
        <is>
          <t>非機能：応答へのパスワードの出力（利用者一覧）</t>
        </is>
      </c>
      <c r="C93" s="12" t="inlineStr">
        <is>
          <t>正常系</t>
        </is>
      </c>
      <c r="D93" s="12" t="inlineStr">
        <is>
          <t>応答へのパスワードの出力（利用者一覧）</t>
        </is>
      </c>
      <c r="E93" s="12" t="inlineStr">
        <is>
          <t>-</t>
        </is>
      </c>
      <c r="F93" s="12" t="inlineStr">
        <is>
          <t>Swagger UIで、管理者として利用者一覧取得（AP-140）を実行し、応答の本文を確認する</t>
        </is>
      </c>
      <c r="G93" s="12" t="inlineStr">
        <is>
          <t>どの利用者の要素にも、パスワード・ハッシュ値の項目が無い</t>
        </is>
      </c>
      <c r="H93" s="12" t="inlineStr">
        <is>
          <t>-</t>
        </is>
      </c>
      <c r="I93" s="12" t="inlineStr">
        <is>
          <t>-</t>
        </is>
      </c>
      <c r="J93" s="12" t="inlineStr">
        <is>
          <t>23_API基本設計書2.10</t>
        </is>
      </c>
      <c r="K93" s="12" t="inlineStr">
        <is>
          <t>手動</t>
        </is>
      </c>
      <c r="L93" s="12" t="n"/>
      <c r="M93" s="12" t="inlineStr">
        <is>
          <t>OK</t>
        </is>
      </c>
      <c r="N93" s="23" t="n">
        <v>46310</v>
      </c>
      <c r="O93" s="12" t="inlineStr">
        <is>
          <t>佐々木</t>
        </is>
      </c>
      <c r="P93" s="12" t="inlineStr">
        <is>
          <t>利用者一覧（7件）の全要素の項目は userId・name・email・roleCode・roleName・anonymizedAt で、パスワードの項目は無い（応答の全体を補足として貼付）。</t>
        </is>
      </c>
      <c r="Q93" s="15" t="inlineStr">
        <is>
          <t>45_テストエビデンス_総合.xlsx／非機能</t>
        </is>
      </c>
      <c r="R93" s="12" t="n"/>
      <c r="S93" s="12" t="n"/>
      <c r="T93" s="12" t="n"/>
    </row>
    <row r="94" ht="40.5" customHeight="1">
      <c r="A94" s="12" t="inlineStr">
        <is>
          <t>ST-NF-E13</t>
        </is>
      </c>
      <c r="B94" s="12" t="inlineStr">
        <is>
          <t>非機能：想定外の異常時の応答</t>
        </is>
      </c>
      <c r="C94" s="12" t="inlineStr">
        <is>
          <t>正常系</t>
        </is>
      </c>
      <c r="D94" s="12" t="inlineStr">
        <is>
          <t>想定外の異常時の応答</t>
        </is>
      </c>
      <c r="E94" s="12" t="inlineStr">
        <is>
          <t>-</t>
        </is>
      </c>
      <c r="F94" s="12" t="inlineStr">
        <is>
          <t>バックエンドの起動中にMySQLを停止し、GET /api/eventsを呼ぶ</t>
        </is>
      </c>
      <c r="G94" s="12" t="inlineStr">
        <is>
          <t>500「システムエラーが発生しました。時間をおいて再度お試しください」が返り、応答にスタックトレース・SQL・クラス名が含まれない</t>
        </is>
      </c>
      <c r="H94" s="12" t="inlineStr">
        <is>
          <t>-</t>
        </is>
      </c>
      <c r="I94" s="12" t="inlineStr">
        <is>
          <t>-</t>
        </is>
      </c>
      <c r="J94" s="12" t="inlineStr">
        <is>
          <t>24_方式設計書5.2</t>
        </is>
      </c>
      <c r="K94" s="12" t="inlineStr">
        <is>
          <t>手動</t>
        </is>
      </c>
      <c r="L94" s="12" t="n"/>
      <c r="M94" s="12" t="inlineStr">
        <is>
          <t>OK</t>
        </is>
      </c>
      <c r="N94" s="23" t="n">
        <v>46310</v>
      </c>
      <c r="O94" s="12" t="inlineStr">
        <is>
          <t>佐々木</t>
        </is>
      </c>
      <c r="P94" s="12" t="inlineStr">
        <is>
          <t>MySQL80 のサービスを停止して呼ぶと、約30秒後に500「システムエラーが発生しました。時間をおいて再度お試しください」が返った。応答にスタックトレース・SQL・クラス名は無い（スタックトレースはサーバーのログにのみ出力）。確認後、MySQL80 を起動し直した。</t>
        </is>
      </c>
      <c r="Q94" s="15" t="inlineStr">
        <is>
          <t>45_テストエビデンス_総合.xlsx／非機能</t>
        </is>
      </c>
      <c r="R94" s="12" t="n"/>
      <c r="S94" s="12" t="n"/>
      <c r="T94" s="12" t="n"/>
    </row>
    <row r="95" ht="40.5" customHeight="1">
      <c r="A95" s="12" t="inlineStr">
        <is>
          <t>ST-NF-E14</t>
        </is>
      </c>
      <c r="B95" s="12" t="inlineStr">
        <is>
          <t>非機能：サーバーに接続できないときの表示</t>
        </is>
      </c>
      <c r="C95" s="12" t="inlineStr">
        <is>
          <t>正常系</t>
        </is>
      </c>
      <c r="D95" s="12" t="inlineStr">
        <is>
          <t>サーバーに接続できないときの表示</t>
        </is>
      </c>
      <c r="E95" s="12" t="inlineStr">
        <is>
          <t>-</t>
        </is>
      </c>
      <c r="F95" s="12" t="inlineStr">
        <is>
          <t>バックエンドを停止し、SC-020を開く</t>
        </is>
      </c>
      <c r="G95" s="12" t="inlineStr">
        <is>
          <t>「サーバーに接続できません。バックエンドが起動しているか確認してください。」が表示され、画面が空白にならない</t>
        </is>
      </c>
      <c r="H95" s="12" t="inlineStr">
        <is>
          <t>-</t>
        </is>
      </c>
      <c r="I95" s="12" t="inlineStr">
        <is>
          <t>-</t>
        </is>
      </c>
      <c r="J95" s="12" t="inlineStr">
        <is>
          <t>24_方式設計書5.3</t>
        </is>
      </c>
      <c r="K95" s="12" t="inlineStr">
        <is>
          <t>手動</t>
        </is>
      </c>
      <c r="L95" s="12" t="n"/>
      <c r="M95" s="12" t="inlineStr">
        <is>
          <t>OK</t>
        </is>
      </c>
      <c r="N95" s="23" t="n">
        <v>46310</v>
      </c>
      <c r="O95" s="12" t="inlineStr">
        <is>
          <t>佐々木</t>
        </is>
      </c>
      <c r="P95" s="12" t="inlineStr">
        <is>
          <t>バックエンドを停止した状態で、ログイン画面（SC-010）からログインを試みると「サーバーに接続できません。バックエンドが起動しているか確認してください。」が表示され、画面は空白にならなかった（直前の操作でログアウトしていたため、SC-020ではなくSC-010で確認）。</t>
        </is>
      </c>
      <c r="Q95" s="15" t="inlineStr">
        <is>
          <t>45_テストエビデンス_総合.xlsx／非機能</t>
        </is>
      </c>
      <c r="R95" s="12" t="n"/>
      <c r="S95" s="12" t="n"/>
      <c r="T95" s="12" t="n"/>
    </row>
  </sheetData>
  <autoFilter ref="A1:T95"/>
  <conditionalFormatting sqref="M2:M95">
    <cfRule type="cellIs" priority="1" operator="equal" dxfId="3">
      <formula>"OK"</formula>
    </cfRule>
    <cfRule type="cellIs" priority="2" operator="equal" dxfId="2">
      <formula>"NG"</formula>
    </cfRule>
    <cfRule type="cellIs" priority="3" operator="equal" dxfId="1">
      <formula>"保留"</formula>
    </cfRule>
    <cfRule type="cellIs" priority="4" operator="equal" dxfId="0">
      <formula>"対象外"</formula>
    </cfRule>
  </conditionalFormatting>
  <conditionalFormatting sqref="S2:S95">
    <cfRule type="cellIs" priority="5" operator="equal" dxfId="3">
      <formula>"OK"</formula>
    </cfRule>
    <cfRule type="cellIs" priority="6" operator="equal" dxfId="2">
      <formula>"NG"</formula>
    </cfRule>
    <cfRule type="cellIs" priority="7" operator="equal" dxfId="1">
      <formula>"保留"</formula>
    </cfRule>
    <cfRule type="cellIs" priority="8" operator="equal" dxfId="0">
      <formula>"対象外"</formula>
    </cfRule>
  </conditionalFormatting>
  <dataValidations count="2">
    <dataValidation sqref="M2:M95" showDropDown="0" showInputMessage="0" showErrorMessage="0" allowBlank="1" type="list">
      <formula1>"OK,NG,保留,対象外"</formula1>
    </dataValidation>
    <dataValidation sqref="S2:S95" showDropDown="0" showInputMessage="0" showErrorMessage="0" allowBlank="1" type="list">
      <formula1>"OK,NG"</formula1>
    </dataValidation>
  </dataValidations>
  <hyperlinks>
    <hyperlink xmlns:r="http://schemas.openxmlformats.org/officeDocument/2006/relationships" ref="Q2" location="'ST-01'!A4" r:id="rId1"/>
    <hyperlink xmlns:r="http://schemas.openxmlformats.org/officeDocument/2006/relationships" ref="Q3" location="'ST-01'!A62" r:id="rId2"/>
    <hyperlink xmlns:r="http://schemas.openxmlformats.org/officeDocument/2006/relationships" ref="Q4" location="'ST-01'!A101" r:id="rId3"/>
    <hyperlink xmlns:r="http://schemas.openxmlformats.org/officeDocument/2006/relationships" ref="Q5" location="'ST-01'!A140" r:id="rId4"/>
    <hyperlink xmlns:r="http://schemas.openxmlformats.org/officeDocument/2006/relationships" ref="Q6" location="'ST-01'!A198" r:id="rId5"/>
    <hyperlink xmlns:r="http://schemas.openxmlformats.org/officeDocument/2006/relationships" ref="Q7" location="'ST-01'!A256" r:id="rId6"/>
    <hyperlink xmlns:r="http://schemas.openxmlformats.org/officeDocument/2006/relationships" ref="Q8" location="'ST-01'!A295" r:id="rId7"/>
    <hyperlink xmlns:r="http://schemas.openxmlformats.org/officeDocument/2006/relationships" ref="Q9" location="'ST-01'!A353" r:id="rId8"/>
    <hyperlink xmlns:r="http://schemas.openxmlformats.org/officeDocument/2006/relationships" ref="Q10" location="'ST-01'!A392" r:id="rId9"/>
    <hyperlink xmlns:r="http://schemas.openxmlformats.org/officeDocument/2006/relationships" ref="Q11" location="'ST-01'!A431" r:id="rId10"/>
    <hyperlink xmlns:r="http://schemas.openxmlformats.org/officeDocument/2006/relationships" ref="Q12" location="'ST-01'!A489" r:id="rId11"/>
    <hyperlink xmlns:r="http://schemas.openxmlformats.org/officeDocument/2006/relationships" ref="Q13" location="'ST-01'!A547" r:id="rId12"/>
    <hyperlink xmlns:r="http://schemas.openxmlformats.org/officeDocument/2006/relationships" ref="Q14" location="'ST-02'!A4" r:id="rId13"/>
    <hyperlink xmlns:r="http://schemas.openxmlformats.org/officeDocument/2006/relationships" ref="Q15" location="'ST-02'!A43" r:id="rId14"/>
    <hyperlink xmlns:r="http://schemas.openxmlformats.org/officeDocument/2006/relationships" ref="Q16" location="'ST-02'!A101" r:id="rId15"/>
    <hyperlink xmlns:r="http://schemas.openxmlformats.org/officeDocument/2006/relationships" ref="Q17" location="'ST-02'!A159" r:id="rId16"/>
    <hyperlink xmlns:r="http://schemas.openxmlformats.org/officeDocument/2006/relationships" ref="Q18" location="'ST-02'!A198" r:id="rId17"/>
    <hyperlink xmlns:r="http://schemas.openxmlformats.org/officeDocument/2006/relationships" ref="Q19" location="'ST-02'!A256" r:id="rId18"/>
    <hyperlink xmlns:r="http://schemas.openxmlformats.org/officeDocument/2006/relationships" ref="Q20" location="'ST-02'!A295" r:id="rId19"/>
    <hyperlink xmlns:r="http://schemas.openxmlformats.org/officeDocument/2006/relationships" ref="Q21" location="'ST-02'!A334" r:id="rId20"/>
    <hyperlink xmlns:r="http://schemas.openxmlformats.org/officeDocument/2006/relationships" ref="Q22" location="'ST-02'!A392" r:id="rId21"/>
    <hyperlink xmlns:r="http://schemas.openxmlformats.org/officeDocument/2006/relationships" ref="Q23" location="'ST-02'!A431" r:id="rId22"/>
    <hyperlink xmlns:r="http://schemas.openxmlformats.org/officeDocument/2006/relationships" ref="Q24" location="'ST-02'!A470" r:id="rId23"/>
    <hyperlink xmlns:r="http://schemas.openxmlformats.org/officeDocument/2006/relationships" ref="Q25" location="'ST-02'!A528" r:id="rId24"/>
    <hyperlink xmlns:r="http://schemas.openxmlformats.org/officeDocument/2006/relationships" ref="Q26" location="'ST-02'!A586" r:id="rId25"/>
    <hyperlink xmlns:r="http://schemas.openxmlformats.org/officeDocument/2006/relationships" ref="Q27" location="'ST-03'!A4" r:id="rId26"/>
    <hyperlink xmlns:r="http://schemas.openxmlformats.org/officeDocument/2006/relationships" ref="Q28" location="'ST-03'!A62" r:id="rId27"/>
    <hyperlink xmlns:r="http://schemas.openxmlformats.org/officeDocument/2006/relationships" ref="Q29" location="'ST-03'!A101" r:id="rId28"/>
    <hyperlink xmlns:r="http://schemas.openxmlformats.org/officeDocument/2006/relationships" ref="Q30" location="'ST-03'!A159" r:id="rId29"/>
    <hyperlink xmlns:r="http://schemas.openxmlformats.org/officeDocument/2006/relationships" ref="Q31" location="'ST-03'!A217" r:id="rId30"/>
    <hyperlink xmlns:r="http://schemas.openxmlformats.org/officeDocument/2006/relationships" ref="Q32" location="'ST-03'!A256" r:id="rId31"/>
    <hyperlink xmlns:r="http://schemas.openxmlformats.org/officeDocument/2006/relationships" ref="Q33" location="'ST-03'!A295" r:id="rId32"/>
    <hyperlink xmlns:r="http://schemas.openxmlformats.org/officeDocument/2006/relationships" ref="Q34" location="'ST-03'!A353" r:id="rId33"/>
    <hyperlink xmlns:r="http://schemas.openxmlformats.org/officeDocument/2006/relationships" ref="Q35" location="'ST-03'!A392" r:id="rId34"/>
    <hyperlink xmlns:r="http://schemas.openxmlformats.org/officeDocument/2006/relationships" ref="Q36" location="'ST-03'!A431" r:id="rId35"/>
    <hyperlink xmlns:r="http://schemas.openxmlformats.org/officeDocument/2006/relationships" ref="Q37" location="'ST-03'!A470" r:id="rId36"/>
    <hyperlink xmlns:r="http://schemas.openxmlformats.org/officeDocument/2006/relationships" ref="Q38" location="'ST-04'!A4" r:id="rId37"/>
    <hyperlink xmlns:r="http://schemas.openxmlformats.org/officeDocument/2006/relationships" ref="Q39" location="'ST-04'!A62" r:id="rId38"/>
    <hyperlink xmlns:r="http://schemas.openxmlformats.org/officeDocument/2006/relationships" ref="Q40" location="'ST-04'!A101" r:id="rId39"/>
    <hyperlink xmlns:r="http://schemas.openxmlformats.org/officeDocument/2006/relationships" ref="Q41" location="'ST-04'!A159" r:id="rId40"/>
    <hyperlink xmlns:r="http://schemas.openxmlformats.org/officeDocument/2006/relationships" ref="Q42" location="'ST-04'!A198" r:id="rId41"/>
    <hyperlink xmlns:r="http://schemas.openxmlformats.org/officeDocument/2006/relationships" ref="Q43" location="'ST-04'!A256" r:id="rId42"/>
    <hyperlink xmlns:r="http://schemas.openxmlformats.org/officeDocument/2006/relationships" ref="Q44" location="'ST-04'!A314" r:id="rId43"/>
    <hyperlink xmlns:r="http://schemas.openxmlformats.org/officeDocument/2006/relationships" ref="Q45" location="'ST-04'!A372" r:id="rId44"/>
    <hyperlink xmlns:r="http://schemas.openxmlformats.org/officeDocument/2006/relationships" ref="Q46" location="'ST-04'!A430" r:id="rId45"/>
    <hyperlink xmlns:r="http://schemas.openxmlformats.org/officeDocument/2006/relationships" ref="Q47" location="'ST-04'!A469" r:id="rId46"/>
    <hyperlink xmlns:r="http://schemas.openxmlformats.org/officeDocument/2006/relationships" ref="Q48" location="'ST-04'!A527" r:id="rId47"/>
    <hyperlink xmlns:r="http://schemas.openxmlformats.org/officeDocument/2006/relationships" ref="Q49" location="'ST-04'!A566" r:id="rId48"/>
    <hyperlink xmlns:r="http://schemas.openxmlformats.org/officeDocument/2006/relationships" ref="Q50" location="'ST-05'!A4" r:id="rId49"/>
    <hyperlink xmlns:r="http://schemas.openxmlformats.org/officeDocument/2006/relationships" ref="Q51" location="'ST-05'!A43" r:id="rId50"/>
    <hyperlink xmlns:r="http://schemas.openxmlformats.org/officeDocument/2006/relationships" ref="Q52" location="'ST-05'!A82" r:id="rId51"/>
    <hyperlink xmlns:r="http://schemas.openxmlformats.org/officeDocument/2006/relationships" ref="Q53" location="'ST-05'!A140" r:id="rId52"/>
    <hyperlink xmlns:r="http://schemas.openxmlformats.org/officeDocument/2006/relationships" ref="Q54" location="'ST-05'!A179" r:id="rId53"/>
    <hyperlink xmlns:r="http://schemas.openxmlformats.org/officeDocument/2006/relationships" ref="Q55" location="'ST-05'!A218" r:id="rId54"/>
    <hyperlink xmlns:r="http://schemas.openxmlformats.org/officeDocument/2006/relationships" ref="Q56" location="'ST-11'!A4" r:id="rId55"/>
    <hyperlink xmlns:r="http://schemas.openxmlformats.org/officeDocument/2006/relationships" ref="Q57" location="'ST-11'!A43" r:id="rId56"/>
    <hyperlink xmlns:r="http://schemas.openxmlformats.org/officeDocument/2006/relationships" ref="Q58" location="'ST-11'!A101" r:id="rId57"/>
    <hyperlink xmlns:r="http://schemas.openxmlformats.org/officeDocument/2006/relationships" ref="Q59" location="'ST-11'!A159" r:id="rId58"/>
    <hyperlink xmlns:r="http://schemas.openxmlformats.org/officeDocument/2006/relationships" ref="Q60" location="'ST-11'!A198" r:id="rId59"/>
    <hyperlink xmlns:r="http://schemas.openxmlformats.org/officeDocument/2006/relationships" ref="Q61" location="'ST-11'!A256" r:id="rId60"/>
    <hyperlink xmlns:r="http://schemas.openxmlformats.org/officeDocument/2006/relationships" ref="Q62" location="'ST-11'!A295" r:id="rId61"/>
    <hyperlink xmlns:r="http://schemas.openxmlformats.org/officeDocument/2006/relationships" ref="Q63" location="'ST-12'!A4" r:id="rId62"/>
    <hyperlink xmlns:r="http://schemas.openxmlformats.org/officeDocument/2006/relationships" ref="Q64" location="'ST-12'!A62" r:id="rId63"/>
    <hyperlink xmlns:r="http://schemas.openxmlformats.org/officeDocument/2006/relationships" ref="Q65" location="'ST-12'!A120" r:id="rId64"/>
    <hyperlink xmlns:r="http://schemas.openxmlformats.org/officeDocument/2006/relationships" ref="Q66" location="'ST-12'!A178" r:id="rId65"/>
    <hyperlink xmlns:r="http://schemas.openxmlformats.org/officeDocument/2006/relationships" ref="Q67" location="'ST-12'!A236" r:id="rId66"/>
    <hyperlink xmlns:r="http://schemas.openxmlformats.org/officeDocument/2006/relationships" ref="Q68" location="'ST-12'!A275" r:id="rId67"/>
    <hyperlink xmlns:r="http://schemas.openxmlformats.org/officeDocument/2006/relationships" ref="Q69" location="'ST-13'!A4" r:id="rId68"/>
    <hyperlink xmlns:r="http://schemas.openxmlformats.org/officeDocument/2006/relationships" ref="Q70" location="'ST-13'!A43" r:id="rId69"/>
    <hyperlink xmlns:r="http://schemas.openxmlformats.org/officeDocument/2006/relationships" ref="Q71" location="'ST-13'!A101" r:id="rId70"/>
    <hyperlink xmlns:r="http://schemas.openxmlformats.org/officeDocument/2006/relationships" ref="Q72" location="'ST-13'!A140" r:id="rId71"/>
    <hyperlink xmlns:r="http://schemas.openxmlformats.org/officeDocument/2006/relationships" ref="Q73" location="'ST-13'!A179" r:id="rId72"/>
    <hyperlink xmlns:r="http://schemas.openxmlformats.org/officeDocument/2006/relationships" ref="Q75" location="'非機能'!A4" r:id="rId73"/>
    <hyperlink xmlns:r="http://schemas.openxmlformats.org/officeDocument/2006/relationships" ref="Q76" location="'非機能'!A43" r:id="rId74"/>
    <hyperlink xmlns:r="http://schemas.openxmlformats.org/officeDocument/2006/relationships" ref="Q77" location="'非機能'!A82" r:id="rId75"/>
    <hyperlink xmlns:r="http://schemas.openxmlformats.org/officeDocument/2006/relationships" ref="Q78" location="'非機能'!A121" r:id="rId76"/>
    <hyperlink xmlns:r="http://schemas.openxmlformats.org/officeDocument/2006/relationships" ref="Q79" location="'非機能'!A160" r:id="rId77"/>
    <hyperlink xmlns:r="http://schemas.openxmlformats.org/officeDocument/2006/relationships" ref="Q80" location="'非機能'!A199" r:id="rId78"/>
    <hyperlink xmlns:r="http://schemas.openxmlformats.org/officeDocument/2006/relationships" ref="Q81" location="'非機能'!A238" r:id="rId79"/>
    <hyperlink xmlns:r="http://schemas.openxmlformats.org/officeDocument/2006/relationships" ref="Q82" location="'非機能'!A277" r:id="rId80"/>
    <hyperlink xmlns:r="http://schemas.openxmlformats.org/officeDocument/2006/relationships" ref="Q83" location="'非機能'!A316" r:id="rId81"/>
    <hyperlink xmlns:r="http://schemas.openxmlformats.org/officeDocument/2006/relationships" ref="Q84" location="'非機能'!A355" r:id="rId82"/>
    <hyperlink xmlns:r="http://schemas.openxmlformats.org/officeDocument/2006/relationships" ref="Q85" location="'非機能'!A394" r:id="rId83"/>
    <hyperlink xmlns:r="http://schemas.openxmlformats.org/officeDocument/2006/relationships" ref="Q86" location="'非機能'!A433" r:id="rId84"/>
    <hyperlink xmlns:r="http://schemas.openxmlformats.org/officeDocument/2006/relationships" ref="Q87" location="'非機能'!A472" r:id="rId85"/>
    <hyperlink xmlns:r="http://schemas.openxmlformats.org/officeDocument/2006/relationships" ref="Q88" location="'非機能'!A511" r:id="rId86"/>
    <hyperlink xmlns:r="http://schemas.openxmlformats.org/officeDocument/2006/relationships" ref="Q89" location="'非機能'!A550" r:id="rId87"/>
    <hyperlink xmlns:r="http://schemas.openxmlformats.org/officeDocument/2006/relationships" ref="Q90" location="'非機能'!A589" r:id="rId88"/>
    <hyperlink xmlns:r="http://schemas.openxmlformats.org/officeDocument/2006/relationships" ref="Q91" location="'非機能'!A628" r:id="rId89"/>
    <hyperlink xmlns:r="http://schemas.openxmlformats.org/officeDocument/2006/relationships" ref="Q92" location="'非機能'!A667" r:id="rId90"/>
    <hyperlink xmlns:r="http://schemas.openxmlformats.org/officeDocument/2006/relationships" ref="Q93" location="'非機能'!A706" r:id="rId91"/>
    <hyperlink xmlns:r="http://schemas.openxmlformats.org/officeDocument/2006/relationships" ref="Q94" location="'非機能'!A745" r:id="rId92"/>
    <hyperlink xmlns:r="http://schemas.openxmlformats.org/officeDocument/2006/relationships" ref="Q95" location="'非機能'!A784" r:id="rId9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3"/>
  <cols>
    <col width="5" customWidth="1" min="1" max="1"/>
    <col width="14" customWidth="1" min="2" max="2"/>
    <col width="40" customWidth="1" min="3" max="4"/>
    <col width="34" customWidth="1" min="5" max="6"/>
    <col width="9" customWidth="1" min="7" max="7"/>
    <col width="14" customWidth="1" min="8" max="8"/>
    <col width="9" customWidth="1" min="9" max="9"/>
    <col width="12" customWidth="1" min="10" max="11"/>
  </cols>
  <sheetData>
    <row r="1" ht="13.5" customHeight="1">
      <c r="A1" s="14" t="inlineStr">
        <is>
          <t>No</t>
        </is>
      </c>
      <c r="B1" s="14" t="inlineStr">
        <is>
          <t>テストID</t>
        </is>
      </c>
      <c r="C1" s="14" t="inlineStr">
        <is>
          <t>事象</t>
        </is>
      </c>
      <c r="D1" s="14" t="inlineStr">
        <is>
          <t>再現手順</t>
        </is>
      </c>
      <c r="E1" s="14" t="inlineStr">
        <is>
          <t>期待結果</t>
        </is>
      </c>
      <c r="F1" s="14" t="inlineStr">
        <is>
          <t>実際の結果</t>
        </is>
      </c>
      <c r="G1" s="14" t="inlineStr">
        <is>
          <t>Issue</t>
        </is>
      </c>
      <c r="H1" s="14" t="inlineStr">
        <is>
          <t>状態</t>
        </is>
      </c>
      <c r="I1" s="14" t="inlineStr">
        <is>
          <t>修正PR</t>
        </is>
      </c>
      <c r="J1" s="14" t="inlineStr">
        <is>
          <t>再テスト日</t>
        </is>
      </c>
      <c r="K1" s="14" t="inlineStr">
        <is>
          <t>再テスト結果</t>
        </is>
      </c>
    </row>
    <row r="2" ht="52" customHeight="1">
      <c r="A2" s="16" t="n">
        <v>1</v>
      </c>
      <c r="B2" s="16" t="inlineStr">
        <is>
          <t>IT-CMN-N05（テストケース外の気づき）</t>
        </is>
      </c>
      <c r="C2" s="16" t="inlineStr">
        <is>
          <t>存在しないURLを呼ぶと404ではなく500になる</t>
        </is>
      </c>
      <c r="D2" s="16" t="inlineStr">
        <is>
          <t>GET /favicon.ico、または X-User-Id: 1 で GET /api/nothing</t>
        </is>
      </c>
      <c r="E2" s="16" t="inlineStr">
        <is>
          <t>404</t>
        </is>
      </c>
      <c r="F2" s="16" t="inlineStr">
        <is>
          <t>500「システムエラーが発生しました。時間をおいて再度お試しください」。ERRORログとスタックトレースが出力される</t>
        </is>
      </c>
      <c r="G2" s="17" t="inlineStr">
        <is>
          <t>#17</t>
        </is>
      </c>
      <c r="H2" s="16" t="inlineStr">
        <is>
          <t>修正済み（再確認OK）</t>
        </is>
      </c>
      <c r="I2" s="16" t="n"/>
      <c r="J2" s="24" t="n">
        <v>46304</v>
      </c>
      <c r="K2" s="16" t="inlineStr">
        <is>
          <t>OK</t>
        </is>
      </c>
    </row>
    <row r="3" ht="39" customHeight="1">
      <c r="A3" s="16" t="n">
        <v>2</v>
      </c>
      <c r="B3" s="16" t="inlineStr">
        <is>
          <t>IT-AP030-E07</t>
        </is>
      </c>
      <c r="C3" s="16" t="inlineStr">
        <is>
          <t>参加区分の無いイベントに他のイベントの区分IDを指定しても申込が登録される</t>
        </is>
      </c>
      <c r="D3" s="16" t="inlineStr">
        <is>
          <t>X-User-Id: 1 で POST /api/applications に {"eventId": 53, "ticketTypeId": 1} を送る（53は区分の無いイベント、1は別のイベントの区分）</t>
        </is>
      </c>
      <c r="E3" s="16" t="inlineStr">
        <is>
          <t>404「指定された区分が見つかりません」（E-B-005）。applicationsは変更されない</t>
        </is>
      </c>
      <c r="F3" s="16" t="inlineStr">
        <is>
          <t>201。ticketTypeIdがnullの申込として登録される</t>
        </is>
      </c>
      <c r="G3" s="18" t="inlineStr">
        <is>
          <t>#18</t>
        </is>
      </c>
      <c r="H3" s="16" t="inlineStr">
        <is>
          <t>修正済み（再テストOK）</t>
        </is>
      </c>
      <c r="I3" s="16" t="n"/>
      <c r="J3" s="24" t="n">
        <v>46304</v>
      </c>
      <c r="K3" s="16" t="inlineStr">
        <is>
          <t>OK</t>
        </is>
      </c>
    </row>
    <row r="4" ht="39" customHeight="1">
      <c r="A4" s="16" t="n">
        <v>3</v>
      </c>
      <c r="B4" s="16" t="inlineStr">
        <is>
          <t>IT-SC121-N05</t>
        </is>
      </c>
      <c r="C4" s="16" t="inlineStr">
        <is>
          <t>有効な申込があるイベントは、参加区分を変えなくても編集画面から保存できない</t>
        </is>
      </c>
      <c r="D4" s="16" t="inlineStr">
        <is>
          <t>管理者で、受付済の申込がある「定員1テスト」（ID=53、区分なし）の編集画面を開き、場所を「会議室C」に変えて「保存」を押す</t>
        </is>
      </c>
      <c r="E4" s="16" t="inlineStr">
        <is>
          <t>SC-120へ遷移し、変更後の場所が表示される。events.placeが更新される</t>
        </is>
      </c>
      <c r="F4" s="16" t="inlineStr">
        <is>
          <t>「区分に申込があるため変更できません」と表示され、保存できない。events.placeは変わらない</t>
        </is>
      </c>
      <c r="G4" s="18" t="inlineStr">
        <is>
          <t>#19</t>
        </is>
      </c>
      <c r="H4" s="16" t="inlineStr">
        <is>
          <t>修正済み（再テストOK）</t>
        </is>
      </c>
      <c r="I4" s="16" t="n"/>
      <c r="J4" s="24" t="n">
        <v>46309</v>
      </c>
      <c r="K4" s="16" t="inlineStr">
        <is>
          <t>OK</t>
        </is>
      </c>
    </row>
  </sheetData>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2026-10-07T08:26:42Z</dcterms:created>
  <dcterms:modified xmlns:dcterms="http://purl.org/dc/terms/" xmlns:xsi="http://www.w3.org/2001/XMLSchema-instance" xsi:type="dcterms:W3CDTF">2026-10-15T02:41:05Z</dcterms:modified>
  <cp:lastModifiedBy>佐々木 健成</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0x01010012AB853B196F794D8522E079E5062DE1</vt:lpwstr>
  </property>
  <property name="MediaServiceImageTags" fmtid="{D5CDD505-2E9C-101B-9397-08002B2CF9AE}" pid="3">
    <vt:lpwstr xmlns:vt="http://schemas.openxmlformats.org/officeDocument/2006/docPropsVTypes"/>
  </property>
</Properties>
</file>