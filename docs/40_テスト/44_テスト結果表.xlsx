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'UT'!$A$1:$T$177</definedName>
    <definedName name="_xlnm._FilterDatabase" localSheetId="2" hidden="1">'IT_API結合'!$A$1:$T$212</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yyyy-mm-dd"/>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name val="ＭＳ Ｐゴシック"/>
      <charset val="128"/>
      <family val="3"/>
      <color rgb="FF0563C1"/>
      <sz val="1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164" fontId="0"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164" fontId="0" fillId="0" borderId="1" applyAlignment="1" pivotButton="0" quotePrefix="0" xfId="0">
      <alignment vertical="top" wrapText="1"/>
    </xf>
  </cellXfs>
  <cellStyles count="1">
    <cellStyle name="標準" xfId="0" builtinId="0"/>
  </cellStyles>
  <dxfs count="32">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opLeftCell="A8"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4" ht="14" customHeight="1">
      <c r="A4" s="3" t="inlineStr">
        <is>
          <t>テスト開始日</t>
        </is>
      </c>
      <c r="B4" s="20"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176</v>
      </c>
      <c r="D11" s="6">
        <f>COUNTIF(UT!M2:M177,"OK")</f>
        <v/>
      </c>
      <c r="E11" s="6">
        <f>COUNTIF(UT!M2:M177,"NG")</f>
        <v/>
      </c>
      <c r="F11" s="6">
        <f>COUNTIF(UT!M2:M177,"保留")</f>
        <v/>
      </c>
      <c r="G11" s="6">
        <f>COUNTIF(UT!M2:M177,"対象外")</f>
        <v/>
      </c>
      <c r="H11" s="6">
        <f>C11-SUM(D11:G11)</f>
        <v/>
      </c>
      <c r="I11" s="21">
        <f>IF(C11=0,0,(D11+E11+G11)/C11)</f>
        <v/>
      </c>
    </row>
    <row r="12" ht="14" customHeight="1">
      <c r="A12" s="6" t="inlineStr">
        <is>
          <t>IT</t>
        </is>
      </c>
      <c r="B12" s="6" t="inlineStr">
        <is>
          <t>結合テスト（API結合）</t>
        </is>
      </c>
      <c r="C12" s="6" t="n">
        <v>211</v>
      </c>
      <c r="D12" s="6">
        <f>COUNTIF(IT_API結合!M2:M212,"OK")</f>
        <v/>
      </c>
      <c r="E12" s="6">
        <f>COUNTIF(IT_API結合!M2:M212,"NG")</f>
        <v/>
      </c>
      <c r="F12" s="6">
        <f>COUNTIF(IT_API結合!M2:M212,"保留")</f>
        <v/>
      </c>
      <c r="G12" s="6">
        <f>COUNTIF(IT_API結合!M2:M212,"対象外")</f>
        <v/>
      </c>
      <c r="H12" s="6">
        <f>C12-SUM(D12:G12)</f>
        <v/>
      </c>
      <c r="I12" s="21">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21">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21">
        <f>IF(C14=0,0,(D14+E14+G14)/C14)</f>
        <v/>
      </c>
    </row>
    <row r="15" ht="14" customHeight="1">
      <c r="A15" s="8" t="inlineStr">
        <is>
          <t>合計</t>
        </is>
      </c>
      <c r="B15" s="6" t="n"/>
      <c r="C15" s="8">
        <f>SUM(C11:C14)</f>
        <v/>
      </c>
      <c r="D15" s="8">
        <f>SUM(D11:D14)</f>
        <v/>
      </c>
      <c r="E15" s="8">
        <f>SUM(E11:E14)</f>
        <v/>
      </c>
      <c r="F15" s="8">
        <f>SUM(F11:F14)</f>
        <v/>
      </c>
      <c r="G15" s="8">
        <f>SUM(G11:G14)</f>
        <v/>
      </c>
      <c r="H15" s="8">
        <f>SUM(H11:H14)</f>
        <v/>
      </c>
      <c r="I15" s="22">
        <f>IF(C15=0,0,(D15+E15+G15)/C15)</f>
        <v/>
      </c>
    </row>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77"/>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3"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3"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3"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3"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3"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3"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3"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3"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3"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3"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3"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3"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3"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3"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3"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3"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3"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3"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3"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3"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3"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3"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3"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3"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3"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3"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3"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3"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3"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3"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3"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3"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3"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3"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3"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3"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3"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3"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3"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3"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3"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3"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3"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3"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3"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3"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3"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3"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3"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3"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3"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3"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3"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3"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3"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3"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3"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3"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3"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3"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3"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3"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3"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3"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3"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3"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3"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3"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3"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3"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3"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3"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3"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3"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3"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3"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3"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3"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3"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3"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3"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3"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3"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3"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3"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3"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3"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3"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3"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3"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3"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3"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3"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3"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3"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3"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3"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3"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3"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3"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3"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3"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3"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3"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3"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3"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3"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3"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3"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3"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3"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3"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3"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3"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3"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3"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3"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3"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t>
        </is>
      </c>
      <c r="J120" s="12" t="inlineStr">
        <is>
          <t>30_画面詳細設計書</t>
        </is>
      </c>
      <c r="K120" s="12" t="inlineStr">
        <is>
          <t>自動</t>
        </is>
      </c>
      <c r="L120" s="12" t="inlineStr">
        <is>
          <t>admin/admin-event-form/admin-event-form.spec.ts</t>
        </is>
      </c>
      <c r="M120" s="12" t="inlineStr">
        <is>
          <t>OK</t>
        </is>
      </c>
      <c r="N120" s="23" t="n">
        <v>46302</v>
      </c>
      <c r="O120" s="12" t="inlineStr">
        <is>
          <t>佐々木（Claude Code）</t>
        </is>
      </c>
      <c r="P120" s="12" t="inlineStr">
        <is>
          <t>自動テスト成功</t>
        </is>
      </c>
      <c r="Q120" s="12" t="inlineStr">
        <is>
          <t>evidence/UT/UT_フロントエンド_結果一覧_20261007.txt</t>
        </is>
      </c>
      <c r="R120" s="12" t="n"/>
      <c r="S120" s="12" t="n"/>
      <c r="T120" s="12" t="n"/>
    </row>
    <row r="121" ht="27" customHeight="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t>
        </is>
      </c>
      <c r="J121" s="12" t="inlineStr">
        <is>
          <t>30_画面詳細設計書</t>
        </is>
      </c>
      <c r="K121" s="12" t="inlineStr">
        <is>
          <t>自動</t>
        </is>
      </c>
      <c r="L121" s="12" t="inlineStr">
        <is>
          <t>admin/admin-event-form/admin-event-form.spec.ts</t>
        </is>
      </c>
      <c r="M121" s="12" t="inlineStr">
        <is>
          <t>OK</t>
        </is>
      </c>
      <c r="N121" s="23" t="n">
        <v>46302</v>
      </c>
      <c r="O121" s="12" t="inlineStr">
        <is>
          <t>佐々木（Claude Code）</t>
        </is>
      </c>
      <c r="P121" s="12" t="inlineStr">
        <is>
          <t>自動テスト成功</t>
        </is>
      </c>
      <c r="Q121" s="12" t="inlineStr">
        <is>
          <t>evidence/UT/UT_フロントエンド_結果一覧_20261007.txt</t>
        </is>
      </c>
      <c r="R121" s="12" t="n"/>
      <c r="S121" s="12" t="n"/>
      <c r="T121" s="12" t="n"/>
    </row>
    <row r="122" ht="27" customHeight="1">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t>
        </is>
      </c>
      <c r="J122" s="12" t="inlineStr">
        <is>
          <t>30_画面詳細設計書</t>
        </is>
      </c>
      <c r="K122" s="12" t="inlineStr">
        <is>
          <t>自動</t>
        </is>
      </c>
      <c r="L122" s="12" t="inlineStr">
        <is>
          <t>events/event-list/event-list.spec.ts</t>
        </is>
      </c>
      <c r="M122" s="12" t="inlineStr">
        <is>
          <t>OK</t>
        </is>
      </c>
      <c r="N122" s="23" t="n">
        <v>46302</v>
      </c>
      <c r="O122" s="12" t="inlineStr">
        <is>
          <t>佐々木（Claude Code）</t>
        </is>
      </c>
      <c r="P122" s="12" t="inlineStr">
        <is>
          <t>自動テスト成功</t>
        </is>
      </c>
      <c r="Q122" s="12" t="inlineStr">
        <is>
          <t>evidence/UT/UT_フロントエンド_結果一覧_20261007.txt</t>
        </is>
      </c>
      <c r="R122" s="12" t="n"/>
      <c r="S122" s="12" t="n"/>
      <c r="T122" s="12" t="n"/>
    </row>
    <row r="123" ht="27" customHeight="1">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t>
        </is>
      </c>
      <c r="J123" s="12" t="inlineStr">
        <is>
          <t>30_画面詳細設計書</t>
        </is>
      </c>
      <c r="K123" s="12" t="inlineStr">
        <is>
          <t>自動</t>
        </is>
      </c>
      <c r="L123" s="12" t="inlineStr">
        <is>
          <t>events/event-list/event-list.spec.ts</t>
        </is>
      </c>
      <c r="M123" s="12" t="inlineStr">
        <is>
          <t>OK</t>
        </is>
      </c>
      <c r="N123" s="23"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t>
        </is>
      </c>
      <c r="J124" s="12" t="inlineStr">
        <is>
          <t>30_画面詳細設計書</t>
        </is>
      </c>
      <c r="K124" s="12" t="inlineStr">
        <is>
          <t>自動</t>
        </is>
      </c>
      <c r="L124" s="12" t="inlineStr">
        <is>
          <t>events/event-list/event-list.spec.ts</t>
        </is>
      </c>
      <c r="M124" s="12" t="inlineStr">
        <is>
          <t>OK</t>
        </is>
      </c>
      <c r="N124" s="23"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3"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3"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3"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3"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3"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3"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3"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3"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3"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3"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3"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3"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t>
        </is>
      </c>
      <c r="J137" s="12" t="inlineStr">
        <is>
          <t>30_画面詳細設計書</t>
        </is>
      </c>
      <c r="K137" s="12" t="inlineStr">
        <is>
          <t>自動</t>
        </is>
      </c>
      <c r="L137" s="12" t="inlineStr">
        <is>
          <t>events/event-search/event-search.spec.ts</t>
        </is>
      </c>
      <c r="M137" s="12" t="inlineStr">
        <is>
          <t>OK</t>
        </is>
      </c>
      <c r="N137" s="23"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t>
        </is>
      </c>
      <c r="J138" s="12" t="inlineStr">
        <is>
          <t>30_画面詳細設計書</t>
        </is>
      </c>
      <c r="K138" s="12" t="inlineStr">
        <is>
          <t>自動</t>
        </is>
      </c>
      <c r="L138" s="12" t="inlineStr">
        <is>
          <t>events/event-search/event-search.spec.ts</t>
        </is>
      </c>
      <c r="M138" s="12" t="inlineStr">
        <is>
          <t>OK</t>
        </is>
      </c>
      <c r="N138" s="23"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t>
        </is>
      </c>
      <c r="J139" s="12" t="inlineStr">
        <is>
          <t>30_画面詳細設計書</t>
        </is>
      </c>
      <c r="K139" s="12" t="inlineStr">
        <is>
          <t>自動</t>
        </is>
      </c>
      <c r="L139" s="12" t="inlineStr">
        <is>
          <t>events/event-search/event-search.spec.ts</t>
        </is>
      </c>
      <c r="M139" s="12" t="inlineStr">
        <is>
          <t>OK</t>
        </is>
      </c>
      <c r="N139" s="23"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3"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3"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3"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3"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3"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3"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3"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3"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3"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t>
        </is>
      </c>
      <c r="J149" s="12" t="inlineStr">
        <is>
          <t>30_画面詳細設計書</t>
        </is>
      </c>
      <c r="K149" s="12" t="inlineStr">
        <is>
          <t>自動</t>
        </is>
      </c>
      <c r="L149" s="12" t="inlineStr">
        <is>
          <t>my-applications/my-applications.spec.ts</t>
        </is>
      </c>
      <c r="M149" s="12" t="inlineStr">
        <is>
          <t>OK</t>
        </is>
      </c>
      <c r="N149" s="23"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t>
        </is>
      </c>
      <c r="J150" s="12" t="inlineStr">
        <is>
          <t>30_画面詳細設計書</t>
        </is>
      </c>
      <c r="K150" s="12" t="inlineStr">
        <is>
          <t>自動</t>
        </is>
      </c>
      <c r="L150" s="12" t="inlineStr">
        <is>
          <t>my-applications/my-applications.spec.ts</t>
        </is>
      </c>
      <c r="M150" s="12" t="inlineStr">
        <is>
          <t>OK</t>
        </is>
      </c>
      <c r="N150" s="23"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t>
        </is>
      </c>
      <c r="J151" s="12" t="inlineStr">
        <is>
          <t>30_画面詳細設計書</t>
        </is>
      </c>
      <c r="K151" s="12" t="inlineStr">
        <is>
          <t>自動</t>
        </is>
      </c>
      <c r="L151" s="12" t="inlineStr">
        <is>
          <t>my-applications/my-applications.spec.ts</t>
        </is>
      </c>
      <c r="M151" s="12" t="inlineStr">
        <is>
          <t>OK</t>
        </is>
      </c>
      <c r="N151" s="23"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3"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3"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3"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3"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t>
        </is>
      </c>
      <c r="J156" s="12" t="inlineStr">
        <is>
          <t>30_画面詳細設計書</t>
        </is>
      </c>
      <c r="K156" s="12" t="inlineStr">
        <is>
          <t>自動</t>
        </is>
      </c>
      <c r="L156" s="12" t="inlineStr">
        <is>
          <t>core/event-order.spec.ts</t>
        </is>
      </c>
      <c r="M156" s="12" t="inlineStr">
        <is>
          <t>OK</t>
        </is>
      </c>
      <c r="N156" s="23"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t>
        </is>
      </c>
      <c r="J157" s="12" t="inlineStr">
        <is>
          <t>30_画面詳細設計書</t>
        </is>
      </c>
      <c r="K157" s="12" t="inlineStr">
        <is>
          <t>自動</t>
        </is>
      </c>
      <c r="L157" s="12" t="inlineStr">
        <is>
          <t>core/event-order.spec.ts</t>
        </is>
      </c>
      <c r="M157" s="12" t="inlineStr">
        <is>
          <t>OK</t>
        </is>
      </c>
      <c r="N157" s="23"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t>
        </is>
      </c>
      <c r="J158" s="12" t="inlineStr">
        <is>
          <t>30_画面詳細設計書</t>
        </is>
      </c>
      <c r="K158" s="12" t="inlineStr">
        <is>
          <t>自動</t>
        </is>
      </c>
      <c r="L158" s="12" t="inlineStr">
        <is>
          <t>core/event-order.spec.ts</t>
        </is>
      </c>
      <c r="M158" s="12" t="inlineStr">
        <is>
          <t>OK</t>
        </is>
      </c>
      <c r="N158" s="23"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t>
        </is>
      </c>
      <c r="J159" s="12" t="inlineStr">
        <is>
          <t>30_画面詳細設計書</t>
        </is>
      </c>
      <c r="K159" s="12" t="inlineStr">
        <is>
          <t>自動</t>
        </is>
      </c>
      <c r="L159" s="12" t="inlineStr">
        <is>
          <t>core/event-order.spec.ts</t>
        </is>
      </c>
      <c r="M159" s="12" t="inlineStr">
        <is>
          <t>OK</t>
        </is>
      </c>
      <c r="N159" s="23"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t>
        </is>
      </c>
      <c r="J160" s="12" t="inlineStr">
        <is>
          <t>30_画面詳細設計書</t>
        </is>
      </c>
      <c r="K160" s="12" t="inlineStr">
        <is>
          <t>自動</t>
        </is>
      </c>
      <c r="L160" s="12" t="inlineStr">
        <is>
          <t>core/event-order.spec.ts</t>
        </is>
      </c>
      <c r="M160" s="12" t="inlineStr">
        <is>
          <t>OK</t>
        </is>
      </c>
      <c r="N160" s="23"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t>
        </is>
      </c>
      <c r="J161" s="12" t="inlineStr">
        <is>
          <t>30_画面詳細設計書</t>
        </is>
      </c>
      <c r="K161" s="12" t="inlineStr">
        <is>
          <t>自動</t>
        </is>
      </c>
      <c r="L161" s="12" t="inlineStr">
        <is>
          <t>core/event-order.spec.ts</t>
        </is>
      </c>
      <c r="M161" s="12" t="inlineStr">
        <is>
          <t>OK</t>
        </is>
      </c>
      <c r="N161" s="23"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t>
        </is>
      </c>
      <c r="J162" s="12" t="inlineStr">
        <is>
          <t>30_画面詳細設計書</t>
        </is>
      </c>
      <c r="K162" s="12" t="inlineStr">
        <is>
          <t>自動</t>
        </is>
      </c>
      <c r="L162" s="12" t="inlineStr">
        <is>
          <t>core/event-order.spec.ts</t>
        </is>
      </c>
      <c r="M162" s="12" t="inlineStr">
        <is>
          <t>OK</t>
        </is>
      </c>
      <c r="N162" s="23"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t>
        </is>
      </c>
      <c r="J163" s="12" t="inlineStr">
        <is>
          <t>30_画面詳細設計書</t>
        </is>
      </c>
      <c r="K163" s="12" t="inlineStr">
        <is>
          <t>自動</t>
        </is>
      </c>
      <c r="L163" s="12" t="inlineStr">
        <is>
          <t>core/event-order.spec.ts</t>
        </is>
      </c>
      <c r="M163" s="12" t="inlineStr">
        <is>
          <t>OK</t>
        </is>
      </c>
      <c r="N163" s="23"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t>
        </is>
      </c>
      <c r="J164" s="12" t="inlineStr">
        <is>
          <t>30_画面詳細設計書</t>
        </is>
      </c>
      <c r="K164" s="12" t="inlineStr">
        <is>
          <t>自動</t>
        </is>
      </c>
      <c r="L164" s="12" t="inlineStr">
        <is>
          <t>core/comment-api.spec.ts</t>
        </is>
      </c>
      <c r="M164" s="12" t="inlineStr">
        <is>
          <t>OK</t>
        </is>
      </c>
      <c r="N164" s="23"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t>
        </is>
      </c>
      <c r="J165" s="12" t="inlineStr">
        <is>
          <t>30_画面詳細設計書</t>
        </is>
      </c>
      <c r="K165" s="12" t="inlineStr">
        <is>
          <t>自動</t>
        </is>
      </c>
      <c r="L165" s="12" t="inlineStr">
        <is>
          <t>core/comment-api.spec.ts</t>
        </is>
      </c>
      <c r="M165" s="12" t="inlineStr">
        <is>
          <t>OK</t>
        </is>
      </c>
      <c r="N165" s="23"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t>
        </is>
      </c>
      <c r="J166" s="12" t="inlineStr">
        <is>
          <t>30_画面詳細設計書</t>
        </is>
      </c>
      <c r="K166" s="12" t="inlineStr">
        <is>
          <t>自動</t>
        </is>
      </c>
      <c r="L166" s="12" t="inlineStr">
        <is>
          <t>core/comment-api.spec.ts</t>
        </is>
      </c>
      <c r="M166" s="12" t="inlineStr">
        <is>
          <t>OK</t>
        </is>
      </c>
      <c r="N166" s="23"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t>
        </is>
      </c>
      <c r="J167" s="12" t="inlineStr">
        <is>
          <t>30_画面詳細設計書</t>
        </is>
      </c>
      <c r="K167" s="12" t="inlineStr">
        <is>
          <t>自動</t>
        </is>
      </c>
      <c r="L167" s="12" t="inlineStr">
        <is>
          <t>core/comment-api.spec.ts</t>
        </is>
      </c>
      <c r="M167" s="12" t="inlineStr">
        <is>
          <t>OK</t>
        </is>
      </c>
      <c r="N167" s="23"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t>
        </is>
      </c>
      <c r="J168" s="12" t="inlineStr">
        <is>
          <t>30_画面詳細設計書</t>
        </is>
      </c>
      <c r="K168" s="12" t="inlineStr">
        <is>
          <t>自動</t>
        </is>
      </c>
      <c r="L168" s="12" t="inlineStr">
        <is>
          <t>core/comment-api.spec.ts</t>
        </is>
      </c>
      <c r="M168" s="12" t="inlineStr">
        <is>
          <t>OK</t>
        </is>
      </c>
      <c r="N168" s="23"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t>
        </is>
      </c>
      <c r="J169" s="12" t="inlineStr">
        <is>
          <t>30_画面詳細設計書</t>
        </is>
      </c>
      <c r="K169" s="12" t="inlineStr">
        <is>
          <t>自動</t>
        </is>
      </c>
      <c r="L169" s="12" t="inlineStr">
        <is>
          <t>core/auth-guard.spec.ts</t>
        </is>
      </c>
      <c r="M169" s="12" t="inlineStr">
        <is>
          <t>OK</t>
        </is>
      </c>
      <c r="N169" s="23"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t>
        </is>
      </c>
      <c r="J170" s="12" t="inlineStr">
        <is>
          <t>30_画面詳細設計書</t>
        </is>
      </c>
      <c r="K170" s="12" t="inlineStr">
        <is>
          <t>自動</t>
        </is>
      </c>
      <c r="L170" s="12" t="inlineStr">
        <is>
          <t>core/auth-guard.spec.ts</t>
        </is>
      </c>
      <c r="M170" s="12" t="inlineStr">
        <is>
          <t>OK</t>
        </is>
      </c>
      <c r="N170" s="23"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t>
        </is>
      </c>
      <c r="J171" s="12" t="inlineStr">
        <is>
          <t>30_画面詳細設計書</t>
        </is>
      </c>
      <c r="K171" s="12" t="inlineStr">
        <is>
          <t>自動</t>
        </is>
      </c>
      <c r="L171" s="12" t="inlineStr">
        <is>
          <t>core/admin-guard.spec.ts</t>
        </is>
      </c>
      <c r="M171" s="12" t="inlineStr">
        <is>
          <t>OK</t>
        </is>
      </c>
      <c r="N171" s="23"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t>
        </is>
      </c>
      <c r="J172" s="12" t="inlineStr">
        <is>
          <t>30_画面詳細設計書</t>
        </is>
      </c>
      <c r="K172" s="12" t="inlineStr">
        <is>
          <t>自動</t>
        </is>
      </c>
      <c r="L172" s="12" t="inlineStr">
        <is>
          <t>core/admin-guard.spec.ts</t>
        </is>
      </c>
      <c r="M172" s="12" t="inlineStr">
        <is>
          <t>OK</t>
        </is>
      </c>
      <c r="N172" s="23"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t>
        </is>
      </c>
      <c r="J173" s="12" t="inlineStr">
        <is>
          <t>30_画面詳細設計書</t>
        </is>
      </c>
      <c r="K173" s="12" t="inlineStr">
        <is>
          <t>自動</t>
        </is>
      </c>
      <c r="L173" s="12" t="inlineStr">
        <is>
          <t>core/http-error-interceptor.spec.ts</t>
        </is>
      </c>
      <c r="M173" s="12" t="inlineStr">
        <is>
          <t>OK</t>
        </is>
      </c>
      <c r="N173" s="23"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t>
        </is>
      </c>
      <c r="J174" s="12" t="inlineStr">
        <is>
          <t>30_画面詳細設計書</t>
        </is>
      </c>
      <c r="K174" s="12" t="inlineStr">
        <is>
          <t>自動</t>
        </is>
      </c>
      <c r="L174" s="12" t="inlineStr">
        <is>
          <t>core/http-error-interceptor.spec.ts</t>
        </is>
      </c>
      <c r="M174" s="12" t="inlineStr">
        <is>
          <t>OK</t>
        </is>
      </c>
      <c r="N174" s="23"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t>
        </is>
      </c>
      <c r="J175" s="12" t="inlineStr">
        <is>
          <t>30_画面詳細設計書</t>
        </is>
      </c>
      <c r="K175" s="12" t="inlineStr">
        <is>
          <t>自動</t>
        </is>
      </c>
      <c r="L175" s="12" t="inlineStr">
        <is>
          <t>core/http-error-interceptor.spec.ts</t>
        </is>
      </c>
      <c r="M175" s="12" t="inlineStr">
        <is>
          <t>OK</t>
        </is>
      </c>
      <c r="N175" s="23"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3" t="n">
        <v>46302</v>
      </c>
      <c r="O176" s="12" t="inlineStr">
        <is>
          <t>佐々木（Claude Code）</t>
        </is>
      </c>
      <c r="P176" s="12" t="inlineStr">
        <is>
          <t>自動テスト成功</t>
        </is>
      </c>
      <c r="Q176" s="12" t="inlineStr">
        <is>
          <t>evidence/UT/UT_フロントエンド_結果一覧_20261007.txt</t>
        </is>
      </c>
      <c r="R176" s="12" t="n"/>
      <c r="S176" s="12" t="n"/>
      <c r="T176" s="12" t="n"/>
    </row>
    <row r="177" ht="40.5" customHeight="1">
      <c r="A177" s="12" t="inlineStr">
        <is>
          <t>UT-APP-E15</t>
        </is>
      </c>
      <c r="B177" s="12" t="inlineStr">
        <is>
          <t>ApplicationService（申込・キャンセル・当日受付）</t>
        </is>
      </c>
      <c r="C177" s="12" t="inlineStr">
        <is>
          <t>異常系</t>
        </is>
      </c>
      <c r="D177" s="12" t="inlineStr">
        <is>
          <t>区分の無いイベントに区分を指定すると指定された区分が見つかりませんで拒否される</t>
        </is>
      </c>
      <c r="E177" s="12" t="inlineStr">
        <is>
          <t>区分なしイベントでticketTypeIdを指定</t>
        </is>
      </c>
      <c r="F177" s="12" t="inlineStr">
        <is>
          <t>apply</t>
        </is>
      </c>
      <c r="G177" s="12" t="inlineStr">
        <is>
          <t>NotFoundException「指定された区分が見つかりません」（E-B-005）</t>
        </is>
      </c>
      <c r="H177" s="12" t="inlineStr">
        <is>
          <t>-</t>
        </is>
      </c>
      <c r="I177" s="12" t="inlineStr">
        <is>
          <t>-</t>
        </is>
      </c>
      <c r="J177" s="12" t="inlineStr">
        <is>
          <t>32_処理詳細設計書 4章 AP-030 No.7</t>
        </is>
      </c>
      <c r="K177" s="12" t="inlineStr">
        <is>
          <t>自動</t>
        </is>
      </c>
      <c r="L177" s="12" t="inlineStr">
        <is>
          <t>apply_異常系_区分の無いイベントに区分を指定すると指定された区分が見つかりませんで拒否される</t>
        </is>
      </c>
      <c r="M177" s="12" t="inlineStr">
        <is>
          <t>OK</t>
        </is>
      </c>
      <c r="N177" s="23" t="n">
        <v>46304</v>
      </c>
      <c r="O177" s="12" t="inlineStr">
        <is>
          <t>佐々木（Claude Code）</t>
        </is>
      </c>
      <c r="P177" s="12" t="inlineStr">
        <is>
          <t>自動テスト成功（Issue #18 の修正で追加）</t>
        </is>
      </c>
      <c r="Q177" s="12" t="inlineStr">
        <is>
          <t>evidence/UT/UT_バックエンド_結果一覧_20261009.txt</t>
        </is>
      </c>
      <c r="R177" s="12" t="n"/>
      <c r="S177" s="12" t="n"/>
      <c r="T177" s="12" t="n"/>
    </row>
  </sheetData>
  <autoFilter ref="A1:T177"/>
  <conditionalFormatting sqref="M2:M177">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77">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77" showDropDown="0" showInputMessage="0" showErrorMessage="0" allowBlank="1" type="list">
      <formula1>"OK,NG,保留,対象外"</formula1>
    </dataValidation>
    <dataValidation sqref="S2:S177"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12"/>
  <sheetViews>
    <sheetView tabSelected="1" workbookViewId="0">
      <pane xSplit="3" ySplit="1" topLeftCell="J71"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3"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3"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3"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3"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3"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3"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3"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3"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3"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3"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3"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3"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3"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3"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3"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3"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3"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3"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3"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3"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3"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3"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3"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3"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3"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3"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3"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3"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3"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3"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3"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3"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3"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3"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3"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3"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3"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3"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3"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3"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3"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3"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3"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3"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3"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inlineStr">
        <is>
          <t>OK</t>
        </is>
      </c>
      <c r="N47" s="23" t="n">
        <v>46304</v>
      </c>
      <c r="O47" s="12" t="inlineStr">
        <is>
          <t>佐々木</t>
        </is>
      </c>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3"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3"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3"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3"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3"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3"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3"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3"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3"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3"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inlineStr">
        <is>
          <t>OK</t>
        </is>
      </c>
      <c r="N58" s="23" t="n">
        <v>46304</v>
      </c>
      <c r="O58" s="12" t="inlineStr">
        <is>
          <t>佐々木</t>
        </is>
      </c>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3"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3"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3"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3"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3"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3"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3"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3"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3"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3"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3"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3"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3"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3"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3"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3"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3" t="n">
        <v>46304</v>
      </c>
      <c r="O75" s="12" t="inlineStr">
        <is>
          <t>佐々木</t>
        </is>
      </c>
      <c r="P75" s="12" t="inlineStr">
        <is>
          <t>201が返り、申込が登録された（ticketTypeIdはnull、statusCode=1）。applicationsにID=2（event_id=53、user_id=1）の行が追加された
【再テスト 2026/10/09】修正後、404「指定された区分が見つかりません」が返り、applicationsは変更されなかった（利用者はID=5で実施。ID=1が退会済みのため）</t>
        </is>
      </c>
      <c r="Q75" s="15" t="inlineStr">
        <is>
          <t>45_テストエビデンス_API結合.xlsx／AP-030</t>
        </is>
      </c>
      <c r="R75" s="18" t="inlineStr">
        <is>
          <t>#18</t>
        </is>
      </c>
      <c r="S75" s="12" t="inlineStr">
        <is>
          <t>OK</t>
        </is>
      </c>
      <c r="T75" s="23" t="n">
        <v>46304</v>
      </c>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3"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3"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3"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3"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3"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3"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3"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3"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3"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3"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3"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3"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3"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3"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3"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3"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3"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3"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3"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3"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3"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3"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3"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3"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3"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3"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3"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3"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3"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3"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3"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3"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3"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3"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3"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3"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3"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3"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3"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3"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3"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3"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3"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3"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3"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3"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inlineStr">
        <is>
          <t>OK</t>
        </is>
      </c>
      <c r="N122" s="23" t="n">
        <v>46304</v>
      </c>
      <c r="O122" s="12" t="inlineStr">
        <is>
          <t>佐々木</t>
        </is>
      </c>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inlineStr">
        <is>
          <t>OK</t>
        </is>
      </c>
      <c r="N123" s="23" t="n">
        <v>46304</v>
      </c>
      <c r="O123" s="12" t="inlineStr">
        <is>
          <t>佐々木</t>
        </is>
      </c>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3"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3"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inlineStr">
        <is>
          <t>OK</t>
        </is>
      </c>
      <c r="N126" s="23" t="n">
        <v>46304</v>
      </c>
      <c r="O126" s="12" t="inlineStr">
        <is>
          <t>佐々木</t>
        </is>
      </c>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inlineStr">
        <is>
          <t>OK</t>
        </is>
      </c>
      <c r="N127" s="23" t="n">
        <v>46304</v>
      </c>
      <c r="O127" s="12" t="inlineStr">
        <is>
          <t>佐々木</t>
        </is>
      </c>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inlineStr">
        <is>
          <t>OK</t>
        </is>
      </c>
      <c r="N128" s="23" t="n">
        <v>46304</v>
      </c>
      <c r="O128" s="12" t="inlineStr">
        <is>
          <t>佐々木</t>
        </is>
      </c>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3"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inlineStr">
        <is>
          <t>OK</t>
        </is>
      </c>
      <c r="N130" s="23" t="n">
        <v>46304</v>
      </c>
      <c r="O130" s="12" t="inlineStr">
        <is>
          <t>佐々木</t>
        </is>
      </c>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inlineStr">
        <is>
          <t>OK</t>
        </is>
      </c>
      <c r="N131" s="23" t="n">
        <v>46304</v>
      </c>
      <c r="O131" s="12" t="inlineStr">
        <is>
          <t>佐々木</t>
        </is>
      </c>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inlineStr">
        <is>
          <t>OK</t>
        </is>
      </c>
      <c r="N132" s="23" t="n">
        <v>46304</v>
      </c>
      <c r="O132" s="12" t="inlineStr">
        <is>
          <t>佐々木</t>
        </is>
      </c>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inlineStr">
        <is>
          <t>OK</t>
        </is>
      </c>
      <c r="N133" s="23" t="n">
        <v>46304</v>
      </c>
      <c r="O133" s="12" t="inlineStr">
        <is>
          <t>佐々木</t>
        </is>
      </c>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inlineStr">
        <is>
          <t>OK</t>
        </is>
      </c>
      <c r="N134" s="23" t="n">
        <v>46304</v>
      </c>
      <c r="O134" s="12" t="inlineStr">
        <is>
          <t>佐々木</t>
        </is>
      </c>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inlineStr">
        <is>
          <t>OK</t>
        </is>
      </c>
      <c r="N135" s="23" t="n">
        <v>46304</v>
      </c>
      <c r="O135" s="12" t="inlineStr">
        <is>
          <t>佐々木</t>
        </is>
      </c>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3"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3"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inlineStr">
        <is>
          <t>OK</t>
        </is>
      </c>
      <c r="N138" s="23" t="n">
        <v>46304</v>
      </c>
      <c r="O138" s="12" t="inlineStr">
        <is>
          <t>佐々木</t>
        </is>
      </c>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inlineStr">
        <is>
          <t>OK</t>
        </is>
      </c>
      <c r="N139" s="23" t="n">
        <v>46304</v>
      </c>
      <c r="O139" s="12" t="inlineStr">
        <is>
          <t>佐々木</t>
        </is>
      </c>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inlineStr">
        <is>
          <t>OK</t>
        </is>
      </c>
      <c r="N140" s="23" t="n">
        <v>46304</v>
      </c>
      <c r="O140" s="12" t="inlineStr">
        <is>
          <t>佐々木</t>
        </is>
      </c>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inlineStr">
        <is>
          <t>OK</t>
        </is>
      </c>
      <c r="N141" s="23" t="n">
        <v>46304</v>
      </c>
      <c r="O141" s="12" t="inlineStr">
        <is>
          <t>佐々木</t>
        </is>
      </c>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3"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inlineStr">
        <is>
          <t>OK</t>
        </is>
      </c>
      <c r="N143" s="23" t="n">
        <v>46304</v>
      </c>
      <c r="O143" s="12" t="inlineStr">
        <is>
          <t>佐々木</t>
        </is>
      </c>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inlineStr">
        <is>
          <t>OK</t>
        </is>
      </c>
      <c r="N144" s="23" t="n">
        <v>46304</v>
      </c>
      <c r="O144" s="12" t="inlineStr">
        <is>
          <t>佐々木</t>
        </is>
      </c>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inlineStr">
        <is>
          <t>OK</t>
        </is>
      </c>
      <c r="N145" s="23" t="n">
        <v>46304</v>
      </c>
      <c r="O145" s="12" t="inlineStr">
        <is>
          <t>佐々木</t>
        </is>
      </c>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inlineStr">
        <is>
          <t>OK</t>
        </is>
      </c>
      <c r="N146" s="23" t="n">
        <v>46304</v>
      </c>
      <c r="O146" s="12" t="inlineStr">
        <is>
          <t>佐々木</t>
        </is>
      </c>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inlineStr">
        <is>
          <t>OK</t>
        </is>
      </c>
      <c r="N147" s="23" t="n">
        <v>46304</v>
      </c>
      <c r="O147" s="12" t="inlineStr">
        <is>
          <t>佐々木</t>
        </is>
      </c>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inlineStr">
        <is>
          <t>OK</t>
        </is>
      </c>
      <c r="N148" s="23" t="n">
        <v>46304</v>
      </c>
      <c r="O148" s="12" t="inlineStr">
        <is>
          <t>佐々木</t>
        </is>
      </c>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inlineStr">
        <is>
          <t>OK</t>
        </is>
      </c>
      <c r="N149" s="23" t="n">
        <v>46304</v>
      </c>
      <c r="O149" s="12" t="inlineStr">
        <is>
          <t>佐々木</t>
        </is>
      </c>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inlineStr">
        <is>
          <t>OK</t>
        </is>
      </c>
      <c r="N150" s="23" t="n">
        <v>46304</v>
      </c>
      <c r="O150" s="12" t="inlineStr">
        <is>
          <t>佐々木</t>
        </is>
      </c>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inlineStr">
        <is>
          <t>OK</t>
        </is>
      </c>
      <c r="N151" s="23" t="n">
        <v>46304</v>
      </c>
      <c r="O151" s="12" t="inlineStr">
        <is>
          <t>佐々木</t>
        </is>
      </c>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inlineStr">
        <is>
          <t>OK</t>
        </is>
      </c>
      <c r="N152" s="23" t="n">
        <v>46304</v>
      </c>
      <c r="O152" s="12" t="inlineStr">
        <is>
          <t>佐々木</t>
        </is>
      </c>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inlineStr">
        <is>
          <t>OK</t>
        </is>
      </c>
      <c r="N153" s="23" t="n">
        <v>46304</v>
      </c>
      <c r="O153" s="12" t="inlineStr">
        <is>
          <t>佐々木</t>
        </is>
      </c>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inlineStr">
        <is>
          <t>OK</t>
        </is>
      </c>
      <c r="N154" s="23" t="n">
        <v>46304</v>
      </c>
      <c r="O154" s="12" t="inlineStr">
        <is>
          <t>佐々木</t>
        </is>
      </c>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inlineStr">
        <is>
          <t>OK</t>
        </is>
      </c>
      <c r="N155" s="23" t="n">
        <v>46304</v>
      </c>
      <c r="O155" s="12" t="inlineStr">
        <is>
          <t>佐々木</t>
        </is>
      </c>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inlineStr">
        <is>
          <t>OK</t>
        </is>
      </c>
      <c r="N156" s="23" t="n">
        <v>46304</v>
      </c>
      <c r="O156" s="12" t="inlineStr">
        <is>
          <t>佐々木</t>
        </is>
      </c>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inlineStr">
        <is>
          <t>OK</t>
        </is>
      </c>
      <c r="N157" s="23" t="n">
        <v>46304</v>
      </c>
      <c r="O157" s="12" t="inlineStr">
        <is>
          <t>佐々木</t>
        </is>
      </c>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inlineStr">
        <is>
          <t>OK</t>
        </is>
      </c>
      <c r="N158" s="23" t="n">
        <v>46304</v>
      </c>
      <c r="O158" s="12" t="inlineStr">
        <is>
          <t>佐々木</t>
        </is>
      </c>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inlineStr">
        <is>
          <t>OK</t>
        </is>
      </c>
      <c r="N159" s="23" t="n">
        <v>46304</v>
      </c>
      <c r="O159" s="12" t="inlineStr">
        <is>
          <t>佐々木</t>
        </is>
      </c>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inlineStr">
        <is>
          <t>OK</t>
        </is>
      </c>
      <c r="N160" s="23" t="n">
        <v>46304</v>
      </c>
      <c r="O160" s="12" t="inlineStr">
        <is>
          <t>佐々木</t>
        </is>
      </c>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inlineStr">
        <is>
          <t>OK</t>
        </is>
      </c>
      <c r="N161" s="23" t="n">
        <v>46304</v>
      </c>
      <c r="O161" s="12" t="inlineStr">
        <is>
          <t>佐々木</t>
        </is>
      </c>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inlineStr">
        <is>
          <t>OK</t>
        </is>
      </c>
      <c r="N162" s="23" t="n">
        <v>46304</v>
      </c>
      <c r="O162" s="12" t="inlineStr">
        <is>
          <t>佐々木</t>
        </is>
      </c>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inlineStr">
        <is>
          <t>OK</t>
        </is>
      </c>
      <c r="N163" s="23" t="n">
        <v>46304</v>
      </c>
      <c r="O163" s="12" t="inlineStr">
        <is>
          <t>佐々木</t>
        </is>
      </c>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inlineStr">
        <is>
          <t>OK</t>
        </is>
      </c>
      <c r="N164" s="23" t="n">
        <v>46304</v>
      </c>
      <c r="O164" s="12" t="inlineStr">
        <is>
          <t>佐々木</t>
        </is>
      </c>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inlineStr">
        <is>
          <t>OK</t>
        </is>
      </c>
      <c r="N165" s="23" t="n">
        <v>46304</v>
      </c>
      <c r="O165" s="12" t="inlineStr">
        <is>
          <t>佐々木</t>
        </is>
      </c>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inlineStr">
        <is>
          <t>OK</t>
        </is>
      </c>
      <c r="N166" s="23" t="n">
        <v>46304</v>
      </c>
      <c r="O166" s="12" t="inlineStr">
        <is>
          <t>佐々木</t>
        </is>
      </c>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inlineStr">
        <is>
          <t>OK</t>
        </is>
      </c>
      <c r="N167" s="23" t="n">
        <v>46304</v>
      </c>
      <c r="O167" s="12" t="inlineStr">
        <is>
          <t>佐々木</t>
        </is>
      </c>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inlineStr">
        <is>
          <t>OK</t>
        </is>
      </c>
      <c r="N168" s="23" t="n">
        <v>46304</v>
      </c>
      <c r="O168" s="12" t="inlineStr">
        <is>
          <t>佐々木</t>
        </is>
      </c>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inlineStr">
        <is>
          <t>OK</t>
        </is>
      </c>
      <c r="N169" s="23" t="n">
        <v>46304</v>
      </c>
      <c r="O169" s="12" t="inlineStr">
        <is>
          <t>佐々木</t>
        </is>
      </c>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inlineStr">
        <is>
          <t>OK</t>
        </is>
      </c>
      <c r="N170" s="23" t="n">
        <v>46304</v>
      </c>
      <c r="O170" s="12" t="inlineStr">
        <is>
          <t>佐々木</t>
        </is>
      </c>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inlineStr">
        <is>
          <t>OK</t>
        </is>
      </c>
      <c r="N171" s="23" t="n">
        <v>46304</v>
      </c>
      <c r="O171" s="12" t="inlineStr">
        <is>
          <t>佐々木</t>
        </is>
      </c>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inlineStr">
        <is>
          <t>OK</t>
        </is>
      </c>
      <c r="N172" s="23" t="n">
        <v>46304</v>
      </c>
      <c r="O172" s="12" t="inlineStr">
        <is>
          <t>佐々木</t>
        </is>
      </c>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inlineStr">
        <is>
          <t>OK</t>
        </is>
      </c>
      <c r="N173" s="23" t="n">
        <v>46304</v>
      </c>
      <c r="O173" s="12" t="inlineStr">
        <is>
          <t>佐々木</t>
        </is>
      </c>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3"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3"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3"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inlineStr">
        <is>
          <t>OK</t>
        </is>
      </c>
      <c r="N177" s="23" t="n">
        <v>46304</v>
      </c>
      <c r="O177" s="12" t="inlineStr">
        <is>
          <t>佐々木</t>
        </is>
      </c>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3"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3"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3"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inlineStr">
        <is>
          <t>OK</t>
        </is>
      </c>
      <c r="N181" s="23" t="n">
        <v>46304</v>
      </c>
      <c r="O181" s="12" t="inlineStr">
        <is>
          <t>佐々木</t>
        </is>
      </c>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inlineStr">
        <is>
          <t>OK</t>
        </is>
      </c>
      <c r="N182" s="23" t="n">
        <v>46304</v>
      </c>
      <c r="O182" s="12" t="inlineStr">
        <is>
          <t>佐々木</t>
        </is>
      </c>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inlineStr">
        <is>
          <t>OK</t>
        </is>
      </c>
      <c r="N183" s="23" t="n">
        <v>46304</v>
      </c>
      <c r="O183" s="12" t="inlineStr">
        <is>
          <t>佐々木</t>
        </is>
      </c>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inlineStr">
        <is>
          <t>OK</t>
        </is>
      </c>
      <c r="N184" s="23" t="n">
        <v>46304</v>
      </c>
      <c r="O184" s="12" t="inlineStr">
        <is>
          <t>佐々木</t>
        </is>
      </c>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3"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3"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3"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3"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inlineStr">
        <is>
          <t>OK</t>
        </is>
      </c>
      <c r="N189" s="23" t="n">
        <v>46304</v>
      </c>
      <c r="O189" s="12" t="inlineStr">
        <is>
          <t>佐々木</t>
        </is>
      </c>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inlineStr">
        <is>
          <t>OK</t>
        </is>
      </c>
      <c r="N190" s="23" t="n">
        <v>46304</v>
      </c>
      <c r="O190" s="12" t="inlineStr">
        <is>
          <t>佐々木</t>
        </is>
      </c>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3"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inlineStr">
        <is>
          <t>OK</t>
        </is>
      </c>
      <c r="N192" s="23" t="n">
        <v>46304</v>
      </c>
      <c r="O192" s="12" t="inlineStr">
        <is>
          <t>佐々木</t>
        </is>
      </c>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inlineStr">
        <is>
          <t>OK</t>
        </is>
      </c>
      <c r="N193" s="23" t="n">
        <v>46304</v>
      </c>
      <c r="O193" s="12" t="inlineStr">
        <is>
          <t>佐々木</t>
        </is>
      </c>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3"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inlineStr">
        <is>
          <t>OK</t>
        </is>
      </c>
      <c r="N195" s="23" t="n">
        <v>46304</v>
      </c>
      <c r="O195" s="12" t="inlineStr">
        <is>
          <t>佐々木</t>
        </is>
      </c>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inlineStr">
        <is>
          <t>OK</t>
        </is>
      </c>
      <c r="N196" s="23" t="n">
        <v>46304</v>
      </c>
      <c r="O196" s="12" t="inlineStr">
        <is>
          <t>佐々木</t>
        </is>
      </c>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3"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3"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3"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inlineStr">
        <is>
          <t>OK</t>
        </is>
      </c>
      <c r="N200" s="23" t="n">
        <v>46304</v>
      </c>
      <c r="O200" s="12" t="inlineStr">
        <is>
          <t>佐々木</t>
        </is>
      </c>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inlineStr">
        <is>
          <t>OK</t>
        </is>
      </c>
      <c r="N201" s="23" t="n">
        <v>46304</v>
      </c>
      <c r="O201" s="12" t="inlineStr">
        <is>
          <t>佐々木</t>
        </is>
      </c>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3"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3"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3"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3"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3"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3"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inlineStr">
        <is>
          <t>OK</t>
        </is>
      </c>
      <c r="N208" s="23" t="n">
        <v>46304</v>
      </c>
      <c r="O208" s="12" t="inlineStr">
        <is>
          <t>佐々木</t>
        </is>
      </c>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inlineStr">
        <is>
          <t>OK</t>
        </is>
      </c>
      <c r="N209" s="23" t="n">
        <v>46304</v>
      </c>
      <c r="O209" s="12" t="inlineStr">
        <is>
          <t>佐々木</t>
        </is>
      </c>
      <c r="P209" s="12" t="n"/>
      <c r="Q209" s="15" t="inlineStr">
        <is>
          <t>45_テストエビデンス_API結合.xlsx／AP-900</t>
        </is>
      </c>
      <c r="R209" s="12" t="n"/>
      <c r="S209" s="12" t="n"/>
      <c r="T209" s="12" t="n"/>
    </row>
    <row r="210" ht="27" customHeight="1">
      <c r="A210" s="12" t="inlineStr">
        <is>
          <t>IT-CMN-E08</t>
        </is>
      </c>
      <c r="B210" s="12" t="inlineStr">
        <is>
          <t>認証・リクエスト形式</t>
        </is>
      </c>
      <c r="C210" s="12" t="inlineStr">
        <is>
          <t>異常系</t>
        </is>
      </c>
      <c r="D210" s="12" t="inlineStr">
        <is>
          <t>存在しないURLはリクエスト形式エラー（404）になる</t>
        </is>
      </c>
      <c r="E210" s="12" t="inlineStr">
        <is>
          <t>-</t>
        </is>
      </c>
      <c r="F210" s="12" t="inlineStr">
        <is>
          <t>一般ユーザー（ID=1）でGET /api/nothing</t>
        </is>
      </c>
      <c r="G210" s="12" t="inlineStr">
        <is>
          <t>404「指定されたURLは存在しません」（E-V-028）。500にはならない</t>
        </is>
      </c>
      <c r="H210" s="12" t="inlineStr">
        <is>
          <t>-（参照のみ）</t>
        </is>
      </c>
      <c r="I210" s="12" t="inlineStr">
        <is>
          <t>-</t>
        </is>
      </c>
      <c r="J210" s="12" t="inlineStr">
        <is>
          <t>33_共通詳細設計書 3.1</t>
        </is>
      </c>
      <c r="K210" s="12" t="inlineStr">
        <is>
          <t>自動</t>
        </is>
      </c>
      <c r="L210" s="12" t="inlineStr">
        <is>
          <t>cmn_存在しないURLは404になる</t>
        </is>
      </c>
      <c r="M210" s="12" t="inlineStr">
        <is>
          <t>OK</t>
        </is>
      </c>
      <c r="N210" s="23" t="n">
        <v>46304</v>
      </c>
      <c r="O210" s="12" t="inlineStr">
        <is>
          <t>佐々木（Claude Code）</t>
        </is>
      </c>
      <c r="P210" s="12" t="inlineStr">
        <is>
          <t>自動テスト成功（Issue #17 の修正で追加）</t>
        </is>
      </c>
      <c r="Q210" s="12" t="inlineStr">
        <is>
          <t>evidence/IT/IT_API結合_結果一覧_20261009.txt</t>
        </is>
      </c>
      <c r="R210" s="12" t="n"/>
      <c r="S210" s="12" t="n"/>
      <c r="T210" s="12" t="n"/>
    </row>
    <row r="211" ht="27" customHeight="1">
      <c r="A211" s="12" t="inlineStr">
        <is>
          <t>IT-CMN-E09</t>
        </is>
      </c>
      <c r="B211" s="12" t="inlineStr">
        <is>
          <t>認証・リクエスト形式</t>
        </is>
      </c>
      <c r="C211" s="12" t="inlineStr">
        <is>
          <t>異常系</t>
        </is>
      </c>
      <c r="D211" s="12" t="inlineStr">
        <is>
          <t>対応していないメソッドはリクエスト形式エラー（405）になる</t>
        </is>
      </c>
      <c r="E211" s="12" t="inlineStr">
        <is>
          <t>-</t>
        </is>
      </c>
      <c r="F211" s="12" t="inlineStr">
        <is>
          <t>POST /api/ping（稼働確認はGETだけに対応する）</t>
        </is>
      </c>
      <c r="G211" s="12" t="inlineStr">
        <is>
          <t>405「この操作には対応していません」（E-V-029）。500にはならない</t>
        </is>
      </c>
      <c r="H211" s="12" t="inlineStr">
        <is>
          <t>-（参照のみ）</t>
        </is>
      </c>
      <c r="I211" s="12" t="inlineStr">
        <is>
          <t>-</t>
        </is>
      </c>
      <c r="J211" s="12" t="inlineStr">
        <is>
          <t>33_共通詳細設計書 3.1</t>
        </is>
      </c>
      <c r="K211" s="12" t="inlineStr">
        <is>
          <t>自動</t>
        </is>
      </c>
      <c r="L211" s="12" t="inlineStr">
        <is>
          <t>cmn_対応していないメソッドは405になる</t>
        </is>
      </c>
      <c r="M211" s="12" t="inlineStr">
        <is>
          <t>OK</t>
        </is>
      </c>
      <c r="N211" s="23" t="n">
        <v>46304</v>
      </c>
      <c r="O211" s="12" t="inlineStr">
        <is>
          <t>佐々木（Claude Code）</t>
        </is>
      </c>
      <c r="P211" s="12" t="inlineStr">
        <is>
          <t>自動テスト成功（Issue #17 の修正で追加）</t>
        </is>
      </c>
      <c r="Q211" s="12" t="inlineStr">
        <is>
          <t>evidence/IT/IT_API結合_結果一覧_20261009.txt</t>
        </is>
      </c>
      <c r="R211" s="12" t="n"/>
      <c r="S211" s="12" t="n"/>
      <c r="T211" s="12" t="n"/>
    </row>
    <row r="212" ht="27" customHeight="1">
      <c r="A212" s="12" t="inlineStr">
        <is>
          <t>IT-CMN-E10</t>
        </is>
      </c>
      <c r="B212" s="12" t="inlineStr">
        <is>
          <t>認証・リクエスト形式</t>
        </is>
      </c>
      <c r="C212" s="12" t="inlineStr">
        <is>
          <t>異常系</t>
        </is>
      </c>
      <c r="D212" s="12" t="inlineStr">
        <is>
          <t>本文の形式がJSONでないとリクエスト形式エラー（415）になる</t>
        </is>
      </c>
      <c r="E212" s="12" t="inlineStr">
        <is>
          <t>-</t>
        </is>
      </c>
      <c r="F212" s="12" t="inlineStr">
        <is>
          <t>一般ユーザー（ID=1）でPOST /api/favoritesに、Content-Type: text/plainの本文を送る</t>
        </is>
      </c>
      <c r="G212" s="12" t="inlineStr">
        <is>
          <t>415「リクエストの形式が不正です」（E-V-030）。500にはならない</t>
        </is>
      </c>
      <c r="H212" s="12" t="inlineStr">
        <is>
          <t>favoritesは変更されない</t>
        </is>
      </c>
      <c r="I212" s="12" t="inlineStr">
        <is>
          <t>-</t>
        </is>
      </c>
      <c r="J212" s="12" t="inlineStr">
        <is>
          <t>33_共通詳細設計書 3.1</t>
        </is>
      </c>
      <c r="K212" s="12" t="inlineStr">
        <is>
          <t>自動</t>
        </is>
      </c>
      <c r="L212" s="12" t="inlineStr">
        <is>
          <t>cmn_JSON以外の形式の本文は415になる</t>
        </is>
      </c>
      <c r="M212" s="12" t="inlineStr">
        <is>
          <t>OK</t>
        </is>
      </c>
      <c r="N212" s="23" t="n">
        <v>46304</v>
      </c>
      <c r="O212" s="12" t="inlineStr">
        <is>
          <t>佐々木（Claude Code）</t>
        </is>
      </c>
      <c r="P212" s="12" t="inlineStr">
        <is>
          <t>自動テスト成功（Issue #17 の修正で追加）</t>
        </is>
      </c>
      <c r="Q212" s="12" t="inlineStr">
        <is>
          <t>evidence/IT/IT_API結合_結果一覧_20261009.txt</t>
        </is>
      </c>
      <c r="R212" s="12" t="n"/>
      <c r="S212" s="12" t="n"/>
      <c r="T212" s="12" t="n"/>
    </row>
  </sheetData>
  <autoFilter ref="A1:T212"/>
  <conditionalFormatting sqref="M2:M212">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212">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212" showDropDown="0" showInputMessage="0" showErrorMessage="0" allowBlank="1" type="list">
      <formula1>"OK,NG,保留,対象外"</formula1>
    </dataValidation>
    <dataValidation sqref="S2:S212"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I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inlineStr">
        <is>
          <t>OK</t>
        </is>
      </c>
      <c r="N2" s="23" t="n">
        <v>46308</v>
      </c>
      <c r="O2" s="12" t="inlineStr">
        <is>
          <t>佐々木</t>
        </is>
      </c>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inlineStr">
        <is>
          <t>OK</t>
        </is>
      </c>
      <c r="N3" s="23" t="n">
        <v>46308</v>
      </c>
      <c r="O3" s="12" t="inlineStr">
        <is>
          <t>佐々木</t>
        </is>
      </c>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inlineStr">
        <is>
          <t>OK</t>
        </is>
      </c>
      <c r="N4" s="23" t="n">
        <v>46308</v>
      </c>
      <c r="O4" s="12" t="inlineStr">
        <is>
          <t>佐々木</t>
        </is>
      </c>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inlineStr">
        <is>
          <t>OK</t>
        </is>
      </c>
      <c r="N5" s="23" t="n">
        <v>46308</v>
      </c>
      <c r="O5" s="12" t="inlineStr">
        <is>
          <t>佐々木</t>
        </is>
      </c>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inlineStr">
        <is>
          <t>OK</t>
        </is>
      </c>
      <c r="N6" s="23" t="n">
        <v>46308</v>
      </c>
      <c r="O6" s="12" t="inlineStr">
        <is>
          <t>佐々木</t>
        </is>
      </c>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inlineStr">
        <is>
          <t>OK</t>
        </is>
      </c>
      <c r="N7" s="23" t="n">
        <v>46308</v>
      </c>
      <c r="O7" s="12" t="inlineStr">
        <is>
          <t>佐々木</t>
        </is>
      </c>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inlineStr">
        <is>
          <t>OK</t>
        </is>
      </c>
      <c r="N8" s="23" t="n">
        <v>46308</v>
      </c>
      <c r="O8" s="12" t="inlineStr">
        <is>
          <t>佐々木</t>
        </is>
      </c>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inlineStr">
        <is>
          <t>OK</t>
        </is>
      </c>
      <c r="N9" s="23" t="n">
        <v>46308</v>
      </c>
      <c r="O9" s="12" t="inlineStr">
        <is>
          <t>佐々木</t>
        </is>
      </c>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inlineStr">
        <is>
          <t>OK</t>
        </is>
      </c>
      <c r="N10" s="23" t="n">
        <v>46308</v>
      </c>
      <c r="O10" s="12" t="inlineStr">
        <is>
          <t>佐々木</t>
        </is>
      </c>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inlineStr">
        <is>
          <t>OK</t>
        </is>
      </c>
      <c r="N11" s="23" t="n">
        <v>46308</v>
      </c>
      <c r="O11" s="12" t="inlineStr">
        <is>
          <t>佐々木</t>
        </is>
      </c>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inlineStr">
        <is>
          <t>OK</t>
        </is>
      </c>
      <c r="N12" s="23" t="n">
        <v>46308</v>
      </c>
      <c r="O12" s="12" t="inlineStr">
        <is>
          <t>佐々木</t>
        </is>
      </c>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inlineStr">
        <is>
          <t>OK</t>
        </is>
      </c>
      <c r="N13" s="23" t="n">
        <v>46308</v>
      </c>
      <c r="O13" s="12" t="inlineStr">
        <is>
          <t>佐々木</t>
        </is>
      </c>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inlineStr">
        <is>
          <t>OK</t>
        </is>
      </c>
      <c r="N14" s="23" t="n">
        <v>46308</v>
      </c>
      <c r="O14" s="12" t="inlineStr">
        <is>
          <t>佐々木</t>
        </is>
      </c>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inlineStr">
        <is>
          <t>OK</t>
        </is>
      </c>
      <c r="N15" s="23" t="n">
        <v>46308</v>
      </c>
      <c r="O15" s="12" t="inlineStr">
        <is>
          <t>佐々木</t>
        </is>
      </c>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inlineStr">
        <is>
          <t>OK</t>
        </is>
      </c>
      <c r="N16" s="23" t="n">
        <v>46308</v>
      </c>
      <c r="O16" s="12" t="inlineStr">
        <is>
          <t>佐々木</t>
        </is>
      </c>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inlineStr">
        <is>
          <t>OK</t>
        </is>
      </c>
      <c r="N17" s="23" t="n">
        <v>46308</v>
      </c>
      <c r="O17" s="12" t="inlineStr">
        <is>
          <t>佐々木</t>
        </is>
      </c>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inlineStr">
        <is>
          <t>OK</t>
        </is>
      </c>
      <c r="N18" s="23" t="n">
        <v>46308</v>
      </c>
      <c r="O18" s="12" t="inlineStr">
        <is>
          <t>佐々木</t>
        </is>
      </c>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inlineStr">
        <is>
          <t>OK</t>
        </is>
      </c>
      <c r="N19" s="23" t="n">
        <v>46308</v>
      </c>
      <c r="O19" s="12" t="inlineStr">
        <is>
          <t>佐々木</t>
        </is>
      </c>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inlineStr">
        <is>
          <t>OK</t>
        </is>
      </c>
      <c r="N20" s="23" t="n">
        <v>46308</v>
      </c>
      <c r="O20" s="12" t="inlineStr">
        <is>
          <t>佐々木</t>
        </is>
      </c>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inlineStr">
        <is>
          <t>OK</t>
        </is>
      </c>
      <c r="N21" s="23" t="n">
        <v>46308</v>
      </c>
      <c r="O21" s="12" t="inlineStr">
        <is>
          <t>佐々木</t>
        </is>
      </c>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inlineStr">
        <is>
          <t>OK</t>
        </is>
      </c>
      <c r="N22" s="23" t="n">
        <v>46308</v>
      </c>
      <c r="O22" s="12" t="inlineStr">
        <is>
          <t>佐々木</t>
        </is>
      </c>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inlineStr">
        <is>
          <t>OK</t>
        </is>
      </c>
      <c r="N23" s="23" t="n">
        <v>46308</v>
      </c>
      <c r="O23" s="12" t="inlineStr">
        <is>
          <t>佐々木</t>
        </is>
      </c>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inlineStr">
        <is>
          <t>OK</t>
        </is>
      </c>
      <c r="N24" s="23" t="n">
        <v>46308</v>
      </c>
      <c r="O24" s="12" t="inlineStr">
        <is>
          <t>佐々木</t>
        </is>
      </c>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inlineStr">
        <is>
          <t>OK</t>
        </is>
      </c>
      <c r="N25" s="23" t="n">
        <v>46308</v>
      </c>
      <c r="O25" s="12" t="inlineStr">
        <is>
          <t>佐々木</t>
        </is>
      </c>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inlineStr">
        <is>
          <t>OK</t>
        </is>
      </c>
      <c r="N26" s="23" t="n">
        <v>46308</v>
      </c>
      <c r="O26" s="12" t="inlineStr">
        <is>
          <t>佐々木</t>
        </is>
      </c>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inlineStr">
        <is>
          <t>OK</t>
        </is>
      </c>
      <c r="N27" s="23" t="n">
        <v>46308</v>
      </c>
      <c r="O27" s="12" t="inlineStr">
        <is>
          <t>佐々木</t>
        </is>
      </c>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inlineStr">
        <is>
          <t>OK</t>
        </is>
      </c>
      <c r="N28" s="23" t="n">
        <v>46308</v>
      </c>
      <c r="O28" s="12" t="inlineStr">
        <is>
          <t>佐々木</t>
        </is>
      </c>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inlineStr">
        <is>
          <t>OK</t>
        </is>
      </c>
      <c r="N29" s="23" t="n">
        <v>46308</v>
      </c>
      <c r="O29" s="12" t="inlineStr">
        <is>
          <t>佐々木</t>
        </is>
      </c>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inlineStr">
        <is>
          <t>OK</t>
        </is>
      </c>
      <c r="N30" s="23" t="n">
        <v>46308</v>
      </c>
      <c r="O30" s="12" t="inlineStr">
        <is>
          <t>佐々木</t>
        </is>
      </c>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inlineStr">
        <is>
          <t>OK</t>
        </is>
      </c>
      <c r="N31" s="23" t="n">
        <v>46308</v>
      </c>
      <c r="O31" s="12" t="inlineStr">
        <is>
          <t>佐々木</t>
        </is>
      </c>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inlineStr">
        <is>
          <t>OK</t>
        </is>
      </c>
      <c r="N32" s="23" t="n">
        <v>46308</v>
      </c>
      <c r="O32" s="12" t="inlineStr">
        <is>
          <t>佐々木</t>
        </is>
      </c>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inlineStr">
        <is>
          <t>OK</t>
        </is>
      </c>
      <c r="N33" s="23" t="n">
        <v>46308</v>
      </c>
      <c r="O33" s="12" t="inlineStr">
        <is>
          <t>佐々木</t>
        </is>
      </c>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inlineStr">
        <is>
          <t>OK</t>
        </is>
      </c>
      <c r="N34" s="23" t="n">
        <v>46308</v>
      </c>
      <c r="O34" s="12" t="inlineStr">
        <is>
          <t>佐々木</t>
        </is>
      </c>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inlineStr">
        <is>
          <t>OK</t>
        </is>
      </c>
      <c r="N35" s="23" t="n">
        <v>46308</v>
      </c>
      <c r="O35" s="12" t="inlineStr">
        <is>
          <t>佐々木</t>
        </is>
      </c>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inlineStr">
        <is>
          <t>OK</t>
        </is>
      </c>
      <c r="N36" s="23" t="n">
        <v>46308</v>
      </c>
      <c r="O36" s="12" t="inlineStr">
        <is>
          <t>佐々木</t>
        </is>
      </c>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inlineStr">
        <is>
          <t>OK</t>
        </is>
      </c>
      <c r="N37" s="23" t="n">
        <v>46308</v>
      </c>
      <c r="O37" s="12" t="inlineStr">
        <is>
          <t>佐々木</t>
        </is>
      </c>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inlineStr">
        <is>
          <t>OK</t>
        </is>
      </c>
      <c r="N38" s="23" t="n">
        <v>46308</v>
      </c>
      <c r="O38" s="12" t="inlineStr">
        <is>
          <t>佐々木</t>
        </is>
      </c>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inlineStr">
        <is>
          <t>OK</t>
        </is>
      </c>
      <c r="N39" s="23" t="n">
        <v>46308</v>
      </c>
      <c r="O39" s="12" t="inlineStr">
        <is>
          <t>佐々木</t>
        </is>
      </c>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inlineStr">
        <is>
          <t>OK</t>
        </is>
      </c>
      <c r="N40" s="23" t="n">
        <v>46308</v>
      </c>
      <c r="O40" s="12" t="inlineStr">
        <is>
          <t>佐々木</t>
        </is>
      </c>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inlineStr">
        <is>
          <t>OK</t>
        </is>
      </c>
      <c r="N41" s="23" t="n">
        <v>46308</v>
      </c>
      <c r="O41" s="12" t="inlineStr">
        <is>
          <t>佐々木</t>
        </is>
      </c>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inlineStr">
        <is>
          <t>OK</t>
        </is>
      </c>
      <c r="N42" s="23" t="n">
        <v>46308</v>
      </c>
      <c r="O42" s="12" t="inlineStr">
        <is>
          <t>佐々木</t>
        </is>
      </c>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inlineStr">
        <is>
          <t>OK</t>
        </is>
      </c>
      <c r="N43" s="23" t="n">
        <v>46308</v>
      </c>
      <c r="O43" s="12" t="inlineStr">
        <is>
          <t>佐々木</t>
        </is>
      </c>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inlineStr">
        <is>
          <t>OK</t>
        </is>
      </c>
      <c r="N44" s="23" t="n">
        <v>46308</v>
      </c>
      <c r="O44" s="12" t="inlineStr">
        <is>
          <t>佐々木</t>
        </is>
      </c>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inlineStr">
        <is>
          <t>OK</t>
        </is>
      </c>
      <c r="N45" s="23" t="n">
        <v>46308</v>
      </c>
      <c r="O45" s="12" t="inlineStr">
        <is>
          <t>佐々木</t>
        </is>
      </c>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inlineStr">
        <is>
          <t>OK</t>
        </is>
      </c>
      <c r="N46" s="23" t="n">
        <v>46308</v>
      </c>
      <c r="O46" s="12" t="inlineStr">
        <is>
          <t>佐々木</t>
        </is>
      </c>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inlineStr">
        <is>
          <t>OK</t>
        </is>
      </c>
      <c r="N47" s="23" t="n">
        <v>46308</v>
      </c>
      <c r="O47" s="12" t="inlineStr">
        <is>
          <t>佐々木</t>
        </is>
      </c>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inlineStr">
        <is>
          <t>OK</t>
        </is>
      </c>
      <c r="N48" s="23" t="n">
        <v>46308</v>
      </c>
      <c r="O48" s="12" t="inlineStr">
        <is>
          <t>佐々木</t>
        </is>
      </c>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inlineStr">
        <is>
          <t>OK</t>
        </is>
      </c>
      <c r="N49" s="23" t="n">
        <v>46308</v>
      </c>
      <c r="O49" s="12" t="inlineStr">
        <is>
          <t>佐々木</t>
        </is>
      </c>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項目⑬</t>
        </is>
      </c>
      <c r="K50" s="12" t="inlineStr">
        <is>
          <t>手動</t>
        </is>
      </c>
      <c r="L50" s="12" t="n"/>
      <c r="M50" s="12" t="inlineStr">
        <is>
          <t>OK</t>
        </is>
      </c>
      <c r="N50" s="23" t="n">
        <v>46308</v>
      </c>
      <c r="O50" s="12" t="inlineStr">
        <is>
          <t>佐々木</t>
        </is>
      </c>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inlineStr">
        <is>
          <t>OK</t>
        </is>
      </c>
      <c r="N51" s="23" t="n">
        <v>46308</v>
      </c>
      <c r="O51" s="12" t="inlineStr">
        <is>
          <t>佐々木</t>
        </is>
      </c>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inlineStr">
        <is>
          <t>OK</t>
        </is>
      </c>
      <c r="N52" s="23" t="n">
        <v>46308</v>
      </c>
      <c r="O52" s="12" t="inlineStr">
        <is>
          <t>佐々木</t>
        </is>
      </c>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イベント検索に戻る」を押す</t>
        </is>
      </c>
      <c r="G53" s="12" t="inlineStr">
        <is>
          <t>SC-021に戻る</t>
        </is>
      </c>
      <c r="H53" s="12" t="inlineStr">
        <is>
          <t>-（参照のみ）</t>
        </is>
      </c>
      <c r="I53" s="12" t="inlineStr">
        <is>
          <t>-</t>
        </is>
      </c>
      <c r="J53" s="12" t="inlineStr">
        <is>
          <t>SC-021 イベント処理5</t>
        </is>
      </c>
      <c r="K53" s="12" t="inlineStr">
        <is>
          <t>手動</t>
        </is>
      </c>
      <c r="L53" s="12" t="n"/>
      <c r="M53" s="12" t="inlineStr">
        <is>
          <t>OK</t>
        </is>
      </c>
      <c r="N53" s="23" t="n">
        <v>46308</v>
      </c>
      <c r="O53" s="12" t="inlineStr">
        <is>
          <t>佐々木</t>
        </is>
      </c>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検索結果から開いた詳細でお気に入りに登録すると、検索画面のお気に入り数に反映される</t>
        </is>
      </c>
      <c r="E54" s="12" t="inlineStr">
        <is>
          <t>一般ユーザーでログイン、TD-02（お気に入り登録なし）</t>
        </is>
      </c>
      <c r="F54" s="12" t="inlineStr">
        <is>
          <t>TD-02のイベント名を押してSC-022を開き、「☆ お気に入りに追加」を押してからSC-021に戻る</t>
        </is>
      </c>
      <c r="G54" s="12" t="inlineStr">
        <is>
          <t>SC-021のTD-02のお気に入り数が1増える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イベント処理5、SC-022 イベント処理2</t>
        </is>
      </c>
      <c r="K54" s="12" t="inlineStr">
        <is>
          <t>手動</t>
        </is>
      </c>
      <c r="L54" s="12" t="n"/>
      <c r="M54" s="12" t="inlineStr">
        <is>
          <t>OK</t>
        </is>
      </c>
      <c r="N54" s="23" t="n">
        <v>46308</v>
      </c>
      <c r="O54" s="12" t="inlineStr">
        <is>
          <t>佐々木</t>
        </is>
      </c>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inlineStr">
        <is>
          <t>OK</t>
        </is>
      </c>
      <c r="N55" s="23" t="n">
        <v>46308</v>
      </c>
      <c r="O55" s="12" t="inlineStr">
        <is>
          <t>佐々木</t>
        </is>
      </c>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inlineStr">
        <is>
          <t>OK</t>
        </is>
      </c>
      <c r="N56" s="23" t="n">
        <v>46308</v>
      </c>
      <c r="O56" s="12" t="inlineStr">
        <is>
          <t>佐々木</t>
        </is>
      </c>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イベント一覧に戻る」を押す</t>
        </is>
      </c>
      <c r="G57" s="12" t="inlineStr">
        <is>
          <t>SC-020に戻る</t>
        </is>
      </c>
      <c r="H57" s="12" t="inlineStr">
        <is>
          <t>-（参照のみ）</t>
        </is>
      </c>
      <c r="I57" s="12" t="inlineStr">
        <is>
          <t>-</t>
        </is>
      </c>
      <c r="J57" s="12" t="inlineStr">
        <is>
          <t>SC-022 項目①</t>
        </is>
      </c>
      <c r="K57" s="12" t="inlineStr">
        <is>
          <t>手動</t>
        </is>
      </c>
      <c r="L57" s="12" t="n"/>
      <c r="M57" s="12" t="inlineStr">
        <is>
          <t>OK</t>
        </is>
      </c>
      <c r="N57" s="23" t="n">
        <v>46308</v>
      </c>
      <c r="O57" s="12" t="inlineStr">
        <is>
          <t>佐々木</t>
        </is>
      </c>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お気に入りに追加」を押す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inlineStr">
        <is>
          <t>OK</t>
        </is>
      </c>
      <c r="N58" s="23" t="n">
        <v>46308</v>
      </c>
      <c r="O58" s="12" t="inlineStr">
        <is>
          <t>佐々木</t>
        </is>
      </c>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inlineStr">
        <is>
          <t>OK</t>
        </is>
      </c>
      <c r="N59" s="23" t="n">
        <v>46308</v>
      </c>
      <c r="O59" s="12" t="inlineStr">
        <is>
          <t>佐々木</t>
        </is>
      </c>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inlineStr">
        <is>
          <t>OK</t>
        </is>
      </c>
      <c r="N60" s="23" t="n">
        <v>46308</v>
      </c>
      <c r="O60" s="12" t="inlineStr">
        <is>
          <t>佐々木</t>
        </is>
      </c>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n"/>
      <c r="N61" s="12" t="n"/>
      <c r="O61" s="12" t="n"/>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inlineStr">
        <is>
          <t>OK</t>
        </is>
      </c>
      <c r="N62" s="23" t="n">
        <v>46308</v>
      </c>
      <c r="O62" s="12" t="inlineStr">
        <is>
          <t>佐々木</t>
        </is>
      </c>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n"/>
      <c r="N63" s="12" t="n"/>
      <c r="O63" s="12" t="n"/>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inlineStr">
        <is>
          <t>OK</t>
        </is>
      </c>
      <c r="N64" s="23" t="n">
        <v>46308</v>
      </c>
      <c r="O64" s="12" t="inlineStr">
        <is>
          <t>佐々木</t>
        </is>
      </c>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inlineStr">
        <is>
          <t>OK</t>
        </is>
      </c>
      <c r="N65" s="23" t="n">
        <v>46308</v>
      </c>
      <c r="O65" s="12" t="inlineStr">
        <is>
          <t>佐々木</t>
        </is>
      </c>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inlineStr">
        <is>
          <t>OK</t>
        </is>
      </c>
      <c r="N66" s="23" t="n">
        <v>46308</v>
      </c>
      <c r="O66" s="12" t="inlineStr">
        <is>
          <t>佐々木</t>
        </is>
      </c>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n"/>
      <c r="N67" s="12" t="n"/>
      <c r="O67" s="12" t="n"/>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n"/>
      <c r="N68" s="12" t="n"/>
      <c r="O68" s="12" t="n"/>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n"/>
      <c r="N69" s="12" t="n"/>
      <c r="O69" s="12" t="n"/>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n"/>
      <c r="N70" s="12" t="n"/>
      <c r="O70" s="12" t="n"/>
      <c r="P70" s="12" t="n"/>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n"/>
      <c r="N71" s="12" t="n"/>
      <c r="O71" s="12" t="n"/>
      <c r="P71" s="12" t="n"/>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n"/>
      <c r="N72" s="12" t="n"/>
      <c r="O72" s="12" t="n"/>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n"/>
      <c r="N73" s="12" t="n"/>
      <c r="O73" s="12" t="n"/>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n"/>
      <c r="N74" s="12" t="n"/>
      <c r="O74" s="12" t="n"/>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n"/>
      <c r="N75" s="12" t="n"/>
      <c r="O75" s="12" t="n"/>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n"/>
      <c r="N76" s="12" t="n"/>
      <c r="O76" s="12" t="n"/>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n"/>
      <c r="N77" s="12" t="n"/>
      <c r="O77" s="12" t="n"/>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n"/>
      <c r="N78" s="12" t="n"/>
      <c r="O78" s="12" t="n"/>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n"/>
      <c r="N79" s="12" t="n"/>
      <c r="O79" s="12" t="n"/>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n"/>
      <c r="N80" s="12" t="n"/>
      <c r="O80" s="12" t="n"/>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n"/>
      <c r="N81" s="12" t="n"/>
      <c r="O81" s="12" t="n"/>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n"/>
      <c r="N82" s="12" t="n"/>
      <c r="O82" s="12" t="n"/>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n"/>
      <c r="N83" s="12" t="n"/>
      <c r="O83" s="12" t="n"/>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n"/>
      <c r="N84" s="12" t="n"/>
      <c r="O84" s="12" t="n"/>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n"/>
      <c r="N85" s="12" t="n"/>
      <c r="O85" s="12" t="n"/>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n"/>
      <c r="N86" s="12" t="n"/>
      <c r="O86" s="12" t="n"/>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n"/>
      <c r="N87" s="12" t="n"/>
      <c r="O87" s="12" t="n"/>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n"/>
      <c r="N88" s="12" t="n"/>
      <c r="O88" s="12" t="n"/>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n"/>
      <c r="N89" s="12" t="n"/>
      <c r="O89" s="12" t="n"/>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n"/>
      <c r="N90" s="12" t="n"/>
      <c r="O90" s="12" t="n"/>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n"/>
      <c r="N91" s="12" t="n"/>
      <c r="O91" s="12" t="n"/>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n"/>
      <c r="N92" s="12" t="n"/>
      <c r="O92" s="12" t="n"/>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n"/>
      <c r="N93" s="12" t="n"/>
      <c r="O93" s="12" t="n"/>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n"/>
      <c r="N94" s="12" t="n"/>
      <c r="O94" s="12" t="n"/>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n"/>
      <c r="N95" s="12" t="n"/>
      <c r="O95" s="12" t="n"/>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n"/>
      <c r="N96" s="12" t="n"/>
      <c r="O96" s="12" t="n"/>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n"/>
      <c r="N97" s="12" t="n"/>
      <c r="O97" s="12" t="n"/>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n"/>
      <c r="N98" s="12" t="n"/>
      <c r="O98" s="12" t="n"/>
      <c r="P98" s="12" t="n"/>
      <c r="Q98" s="15" t="inlineStr">
        <is>
          <t>45_テストエビデンス_画面結合.xlsx／SC-121</t>
        </is>
      </c>
      <c r="R98" s="12" t="n"/>
      <c r="S98" s="12" t="n"/>
      <c r="T98" s="12" t="n"/>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t>
        </is>
      </c>
      <c r="J99" s="12" t="inlineStr">
        <is>
          <t>SC-121 項目③</t>
        </is>
      </c>
      <c r="K99" s="12" t="inlineStr">
        <is>
          <t>手動</t>
        </is>
      </c>
      <c r="L99" s="12" t="n"/>
      <c r="M99" s="12" t="n"/>
      <c r="N99" s="12" t="n"/>
      <c r="O99" s="12" t="n"/>
      <c r="P99" s="12" t="n"/>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n"/>
      <c r="N100" s="12" t="n"/>
      <c r="O100" s="12" t="n"/>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n"/>
      <c r="N101" s="12" t="n"/>
      <c r="O101" s="12" t="n"/>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n"/>
      <c r="N102" s="12" t="n"/>
      <c r="O102" s="12" t="n"/>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n"/>
      <c r="N103" s="12" t="n"/>
      <c r="O103" s="12" t="n"/>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n"/>
      <c r="N104" s="12" t="n"/>
      <c r="O104" s="12" t="n"/>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n"/>
      <c r="N105" s="12" t="n"/>
      <c r="O105" s="12" t="n"/>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n"/>
      <c r="N106" s="12" t="n"/>
      <c r="O106" s="12" t="n"/>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n"/>
      <c r="N107" s="12" t="n"/>
      <c r="O107" s="12" t="n"/>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n"/>
      <c r="N108" s="12" t="n"/>
      <c r="O108" s="12" t="n"/>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n"/>
      <c r="N109" s="12" t="n"/>
      <c r="O109" s="12" t="n"/>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n"/>
      <c r="N110" s="12" t="n"/>
      <c r="O110" s="12" t="n"/>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n"/>
      <c r="N111" s="12" t="n"/>
      <c r="O111" s="12" t="n"/>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n"/>
      <c r="N112" s="12" t="n"/>
      <c r="O112" s="12" t="n"/>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n"/>
      <c r="N113" s="12" t="n"/>
      <c r="O113" s="12" t="n"/>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n"/>
      <c r="N114" s="12" t="n"/>
      <c r="O114" s="12" t="n"/>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n"/>
      <c r="N115" s="12" t="n"/>
      <c r="O115" s="12" t="n"/>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n"/>
      <c r="N116" s="12" t="n"/>
      <c r="O116" s="12" t="n"/>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n"/>
      <c r="N117" s="12" t="n"/>
      <c r="O117" s="12" t="n"/>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n"/>
      <c r="N118" s="12" t="n"/>
      <c r="O118" s="12" t="n"/>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n"/>
      <c r="N119" s="12" t="n"/>
      <c r="O119" s="12" t="n"/>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n"/>
      <c r="N120" s="12" t="n"/>
      <c r="O120" s="12" t="n"/>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n"/>
      <c r="N121" s="12" t="n"/>
      <c r="O121" s="12" t="n"/>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n"/>
      <c r="N122" s="12" t="n"/>
      <c r="O122" s="12" t="n"/>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n"/>
      <c r="N123" s="12" t="n"/>
      <c r="O123" s="12" t="n"/>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n"/>
      <c r="N124" s="12" t="n"/>
      <c r="O124" s="12" t="n"/>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n"/>
      <c r="N125" s="12" t="n"/>
      <c r="O125" s="12" t="n"/>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n"/>
      <c r="N126" s="12" t="n"/>
      <c r="O126" s="12" t="n"/>
      <c r="P126" s="12" t="n"/>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n"/>
      <c r="N127" s="12" t="n"/>
      <c r="O127" s="12" t="n"/>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n"/>
      <c r="N128" s="12" t="n"/>
      <c r="O128" s="12" t="n"/>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n"/>
      <c r="N129" s="12" t="n"/>
      <c r="O129" s="12" t="n"/>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n"/>
      <c r="N130" s="12" t="n"/>
      <c r="O130" s="12" t="n"/>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n"/>
      <c r="N131" s="12" t="n"/>
      <c r="O131" s="12" t="n"/>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n"/>
      <c r="N132" s="12" t="n"/>
      <c r="O132" s="12" t="n"/>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n"/>
      <c r="N133" s="12" t="n"/>
      <c r="O133" s="12" t="n"/>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J74"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お気に入りに追加」を押す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お気に入りに追加」を押す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3"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修正済み（再確認OK）</t>
        </is>
      </c>
      <c r="I2" s="16" t="n"/>
      <c r="J2" s="24" t="n">
        <v>46304</v>
      </c>
      <c r="K2" s="16" t="inlineStr">
        <is>
          <t>OK</t>
        </is>
      </c>
    </row>
    <row r="3" ht="39" customHeight="1">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18" t="inlineStr">
        <is>
          <t>#18</t>
        </is>
      </c>
      <c r="H3" s="16" t="inlineStr">
        <is>
          <t>修正済み（再テストOK）</t>
        </is>
      </c>
      <c r="I3" s="16" t="n"/>
      <c r="J3" s="24" t="n">
        <v>46304</v>
      </c>
      <c r="K3" s="16" t="inlineStr">
        <is>
          <t>OK</t>
        </is>
      </c>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2026-10-07T08:26:42Z</dcterms:created>
  <dcterms:modified xmlns:dcterms="http://purl.org/dc/terms/" xmlns:xsi="http://www.w3.org/2001/XMLSchema-instance" xsi:type="dcterms:W3CDTF">2026-10-13T07:34:56Z</dcterms:modified>
  <cp:lastModifiedBy>佐々木 健成</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0x01010012AB853B196F794D8522E079E5062DE1</vt:lpwstr>
  </property>
  <property name="MediaServiceImageTags" fmtid="{D5CDD505-2E9C-101B-9397-08002B2CF9AE}" pid="3">
    <vt:lpwstr xmlns:vt="http://schemas.openxmlformats.org/officeDocument/2006/docPropsVTypes"/>
  </property>
</Properties>
</file>