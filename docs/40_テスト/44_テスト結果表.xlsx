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'UT'!$A$1:$T$177</definedName>
    <definedName name="_xlnm._FilterDatabase" localSheetId="2" hidden="1">'IT_API結合'!$A$1:$T$212</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name val="ＭＳ Ｐゴシック"/>
      <charset val="128"/>
      <family val="3"/>
      <color rgb="FF0563C1"/>
      <sz val="1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opLeftCell="A8"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20"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176</v>
      </c>
      <c r="D11" s="6">
        <f>COUNTIF(UT!M2:M177,"OK")</f>
        <v/>
      </c>
      <c r="E11" s="6">
        <f>COUNTIF(UT!M2:M177,"NG")</f>
        <v/>
      </c>
      <c r="F11" s="6">
        <f>COUNTIF(UT!M2:M177,"保留")</f>
        <v/>
      </c>
      <c r="G11" s="6">
        <f>COUNTIF(UT!M2:M177,"対象外")</f>
        <v/>
      </c>
      <c r="H11" s="6">
        <f>C11-SUM(D11:G11)</f>
        <v/>
      </c>
      <c r="I11" s="21">
        <f>IF(C11=0,0,(D11+E11+G11)/C11)</f>
        <v/>
      </c>
    </row>
    <row r="12" ht="14" customHeight="1">
      <c r="A12" s="6" t="inlineStr">
        <is>
          <t>IT</t>
        </is>
      </c>
      <c r="B12" s="6" t="inlineStr">
        <is>
          <t>結合テスト（API結合）</t>
        </is>
      </c>
      <c r="C12" s="6" t="n">
        <v>211</v>
      </c>
      <c r="D12" s="6">
        <f>COUNTIF(IT_API結合!M2:M212,"OK")</f>
        <v/>
      </c>
      <c r="E12" s="6">
        <f>COUNTIF(IT_API結合!M2:M212,"NG")</f>
        <v/>
      </c>
      <c r="F12" s="6">
        <f>COUNTIF(IT_API結合!M2:M212,"保留")</f>
        <v/>
      </c>
      <c r="G12" s="6">
        <f>COUNTIF(IT_API結合!M2:M212,"対象外")</f>
        <v/>
      </c>
      <c r="H12" s="6">
        <f>C12-SUM(D12:G12)</f>
        <v/>
      </c>
      <c r="I12" s="21">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21">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21">
        <f>IF(C14=0,0,(D14+E14+G14)/C14)</f>
        <v/>
      </c>
    </row>
    <row r="15" ht="14" customHeight="1">
      <c r="A15" s="8" t="inlineStr">
        <is>
          <t>合計</t>
        </is>
      </c>
      <c r="B15" s="6" t="n"/>
      <c r="C15" s="8">
        <f>SUM(C11:C14)</f>
        <v/>
      </c>
      <c r="D15" s="8">
        <f>SUM(D11:D14)</f>
        <v/>
      </c>
      <c r="E15" s="8">
        <f>SUM(E11:E14)</f>
        <v/>
      </c>
      <c r="F15" s="8">
        <f>SUM(F11:F14)</f>
        <v/>
      </c>
      <c r="G15" s="8">
        <f>SUM(G11:G14)</f>
        <v/>
      </c>
      <c r="H15" s="8">
        <f>SUM(H11:H14)</f>
        <v/>
      </c>
      <c r="I15" s="22">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7"/>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3"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3"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3"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3"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3"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3"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3"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3"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3"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3"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3"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3"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3"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3"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3"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3"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3"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3"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3"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3"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3"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3"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3"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3"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3"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3"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3"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3"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3"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3"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3"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3"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3"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3"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3"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3"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3"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3"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3"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3"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3"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3"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3"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3"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3"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3"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3"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3"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3"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3"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3"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3"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3"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3"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3"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3"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3"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3"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3"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3"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3"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3"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3"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3"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3"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3"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3"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3"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3"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3"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3"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3"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3"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3"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3"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3"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3"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3"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3"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3"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3"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3"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3"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3"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3"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3"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3"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3"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3"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3"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3"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3"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3"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3"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3"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3"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3"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3"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3"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3"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3"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3"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3"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3"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3"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3"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3"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3"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3"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3"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3"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3"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3"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3"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3"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3"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3"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3"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3"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3"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3"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3"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3"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3"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3"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3"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3"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3"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3"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3"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3"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3"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3"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3"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3"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3"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3"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3"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3"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3"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3"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3"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3"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3"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3"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3"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3"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3"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3"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3"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3"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3"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3"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3"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3"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3"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3"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3"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3"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3"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3"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3"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3"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3"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3"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3"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3"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3"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3"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3"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3"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3"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3"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3"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3"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UT-APP-E15</t>
        </is>
      </c>
      <c r="B177" s="12" t="inlineStr">
        <is>
          <t>ApplicationService（申込・キャンセル・当日受付）</t>
        </is>
      </c>
      <c r="C177" s="12" t="inlineStr">
        <is>
          <t>異常系</t>
        </is>
      </c>
      <c r="D177" s="12" t="inlineStr">
        <is>
          <t>区分の無いイベントに区分を指定すると指定された区分が見つかりませんで拒否される</t>
        </is>
      </c>
      <c r="E177" s="12" t="inlineStr">
        <is>
          <t>区分なしイベントでticketTypeIdを指定</t>
        </is>
      </c>
      <c r="F177" s="12" t="inlineStr">
        <is>
          <t>apply</t>
        </is>
      </c>
      <c r="G177" s="12" t="inlineStr">
        <is>
          <t>NotFoundException「指定された区分が見つかりません」（E-B-005）</t>
        </is>
      </c>
      <c r="H177" s="12" t="inlineStr">
        <is>
          <t>-</t>
        </is>
      </c>
      <c r="I177" s="12" t="inlineStr">
        <is>
          <t>-</t>
        </is>
      </c>
      <c r="J177" s="12" t="inlineStr">
        <is>
          <t>32_処理詳細設計書 4章 AP-030 No.7</t>
        </is>
      </c>
      <c r="K177" s="12" t="inlineStr">
        <is>
          <t>自動</t>
        </is>
      </c>
      <c r="L177" s="12" t="inlineStr">
        <is>
          <t>apply_異常系_区分の無いイベントに区分を指定すると指定された区分が見つかりませんで拒否される</t>
        </is>
      </c>
      <c r="M177" s="12" t="inlineStr">
        <is>
          <t>OK</t>
        </is>
      </c>
      <c r="N177" s="23" t="n">
        <v>46304</v>
      </c>
      <c r="O177" s="12" t="inlineStr">
        <is>
          <t>佐々木（Claude Code）</t>
        </is>
      </c>
      <c r="P177" s="12" t="inlineStr">
        <is>
          <t>自動テスト成功（Issue #18 の修正で追加）</t>
        </is>
      </c>
      <c r="Q177" s="12" t="inlineStr">
        <is>
          <t>evidence/UT/UT_バックエンド_結果一覧_20261009.txt</t>
        </is>
      </c>
      <c r="R177" s="12" t="n"/>
      <c r="S177" s="12" t="n"/>
      <c r="T177" s="12" t="n"/>
    </row>
  </sheetData>
  <autoFilter ref="A1:T177"/>
  <conditionalFormatting sqref="M2:M177">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77">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77" showDropDown="0" showInputMessage="0" showErrorMessage="0" allowBlank="1" type="list">
      <formula1>"OK,NG,保留,対象外"</formula1>
    </dataValidation>
    <dataValidation sqref="S2:S177"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2"/>
  <sheetViews>
    <sheetView tabSelected="1" workbookViewId="0">
      <pane xSplit="3" ySplit="1" topLeftCell="J71"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3"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3"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3"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3"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3"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3"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3"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3"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3"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3"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3"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3"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3"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3"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3"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3"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3"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3"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3"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3"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3"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3"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3"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3"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3"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3"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3"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3"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3"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3"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3"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3"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3"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3"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3"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3"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3"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3"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3"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3"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3"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3"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3"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3"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3"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3"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3"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3"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3"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3"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3"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3"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3"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3"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3"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3"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3"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3"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3"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3"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3"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3"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3"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3"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3"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3"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3"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3"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3"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3"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3"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3"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3"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3"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18" t="inlineStr">
        <is>
          <t>#18</t>
        </is>
      </c>
      <c r="S75" s="12" t="inlineStr">
        <is>
          <t>OK</t>
        </is>
      </c>
      <c r="T75" s="23"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3"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3"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3"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3"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3"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3"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3"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3"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3"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3"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3"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3"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3"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3"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3"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3"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3"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3"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3"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3"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3"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3"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3"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3"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3"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3"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3"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3"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3"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3"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3"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3"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3"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3"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3"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3"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3"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3"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3"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3"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3"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3"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3"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3"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3"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3"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3"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3"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3"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3"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3"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3"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3"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3"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3"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3"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3"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3"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3"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3"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3"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3"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3"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3"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3"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3"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3"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3"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3"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3"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3"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3"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3"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3"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3"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3"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3"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3"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3"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3"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3"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3"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3"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3"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3"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3"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3"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3"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3"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3"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3"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3"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3"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3"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3"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3"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3"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3"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3"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3"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3"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3"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3"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3"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3"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3"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3"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3"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3"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3"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3"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3"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3"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3"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3"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3"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3"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3"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3"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3"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3"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3"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3"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3"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3"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3"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3"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3"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3"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3"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3"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3"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3"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3" t="n">
        <v>46304</v>
      </c>
      <c r="O209" s="12" t="inlineStr">
        <is>
          <t>佐々木</t>
        </is>
      </c>
      <c r="P209" s="12" t="n"/>
      <c r="Q209" s="15" t="inlineStr">
        <is>
          <t>45_テストエビデンス_API結合.xlsx／AP-900</t>
        </is>
      </c>
      <c r="R209" s="12" t="n"/>
      <c r="S209" s="12" t="n"/>
      <c r="T209" s="12" t="n"/>
    </row>
    <row r="210" ht="27" customHeight="1">
      <c r="A210" s="12" t="inlineStr">
        <is>
          <t>IT-CMN-E08</t>
        </is>
      </c>
      <c r="B210" s="12" t="inlineStr">
        <is>
          <t>認証・リクエスト形式</t>
        </is>
      </c>
      <c r="C210" s="12" t="inlineStr">
        <is>
          <t>異常系</t>
        </is>
      </c>
      <c r="D210" s="12" t="inlineStr">
        <is>
          <t>存在しないURLはリクエスト形式エラー（404）になる</t>
        </is>
      </c>
      <c r="E210" s="12" t="inlineStr">
        <is>
          <t>-</t>
        </is>
      </c>
      <c r="F210" s="12" t="inlineStr">
        <is>
          <t>一般ユーザー（ID=1）でGET /api/nothing</t>
        </is>
      </c>
      <c r="G210" s="12" t="inlineStr">
        <is>
          <t>404「指定されたURLは存在しません」（E-V-028）。500にはならない</t>
        </is>
      </c>
      <c r="H210" s="12" t="inlineStr">
        <is>
          <t>-（参照のみ）</t>
        </is>
      </c>
      <c r="I210" s="12" t="inlineStr">
        <is>
          <t>-</t>
        </is>
      </c>
      <c r="J210" s="12" t="inlineStr">
        <is>
          <t>33_共通詳細設計書 3.1</t>
        </is>
      </c>
      <c r="K210" s="12" t="inlineStr">
        <is>
          <t>自動</t>
        </is>
      </c>
      <c r="L210" s="12" t="inlineStr">
        <is>
          <t>cmn_存在しないURLは404になる</t>
        </is>
      </c>
      <c r="M210" s="12" t="inlineStr">
        <is>
          <t>OK</t>
        </is>
      </c>
      <c r="N210" s="23" t="n">
        <v>46304</v>
      </c>
      <c r="O210" s="12" t="inlineStr">
        <is>
          <t>佐々木（Claude Code）</t>
        </is>
      </c>
      <c r="P210" s="12" t="inlineStr">
        <is>
          <t>自動テスト成功（Issue #17 の修正で追加）</t>
        </is>
      </c>
      <c r="Q210" s="12" t="inlineStr">
        <is>
          <t>evidence/IT/IT_API結合_結果一覧_20261009.txt</t>
        </is>
      </c>
      <c r="R210" s="12" t="n"/>
      <c r="S210" s="12" t="n"/>
      <c r="T210" s="12" t="n"/>
    </row>
    <row r="211" ht="27" customHeight="1">
      <c r="A211" s="12" t="inlineStr">
        <is>
          <t>IT-CMN-E09</t>
        </is>
      </c>
      <c r="B211" s="12" t="inlineStr">
        <is>
          <t>認証・リクエスト形式</t>
        </is>
      </c>
      <c r="C211" s="12" t="inlineStr">
        <is>
          <t>異常系</t>
        </is>
      </c>
      <c r="D211" s="12" t="inlineStr">
        <is>
          <t>対応していないメソッドはリクエスト形式エラー（405）になる</t>
        </is>
      </c>
      <c r="E211" s="12" t="inlineStr">
        <is>
          <t>-</t>
        </is>
      </c>
      <c r="F211" s="12" t="inlineStr">
        <is>
          <t>POST /api/ping（稼働確認はGETだけに対応する）</t>
        </is>
      </c>
      <c r="G211" s="12" t="inlineStr">
        <is>
          <t>405「この操作には対応していません」（E-V-029）。500にはならない</t>
        </is>
      </c>
      <c r="H211" s="12" t="inlineStr">
        <is>
          <t>-（参照のみ）</t>
        </is>
      </c>
      <c r="I211" s="12" t="inlineStr">
        <is>
          <t>-</t>
        </is>
      </c>
      <c r="J211" s="12" t="inlineStr">
        <is>
          <t>33_共通詳細設計書 3.1</t>
        </is>
      </c>
      <c r="K211" s="12" t="inlineStr">
        <is>
          <t>自動</t>
        </is>
      </c>
      <c r="L211" s="12" t="inlineStr">
        <is>
          <t>cmn_対応していないメソッドは405になる</t>
        </is>
      </c>
      <c r="M211" s="12" t="inlineStr">
        <is>
          <t>OK</t>
        </is>
      </c>
      <c r="N211" s="23" t="n">
        <v>46304</v>
      </c>
      <c r="O211" s="12" t="inlineStr">
        <is>
          <t>佐々木（Claude Code）</t>
        </is>
      </c>
      <c r="P211" s="12" t="inlineStr">
        <is>
          <t>自動テスト成功（Issue #17 の修正で追加）</t>
        </is>
      </c>
      <c r="Q211" s="12" t="inlineStr">
        <is>
          <t>evidence/IT/IT_API結合_結果一覧_20261009.txt</t>
        </is>
      </c>
      <c r="R211" s="12" t="n"/>
      <c r="S211" s="12" t="n"/>
      <c r="T211" s="12" t="n"/>
    </row>
    <row r="212" ht="27" customHeight="1">
      <c r="A212" s="12" t="inlineStr">
        <is>
          <t>IT-CMN-E10</t>
        </is>
      </c>
      <c r="B212" s="12" t="inlineStr">
        <is>
          <t>認証・リクエスト形式</t>
        </is>
      </c>
      <c r="C212" s="12" t="inlineStr">
        <is>
          <t>異常系</t>
        </is>
      </c>
      <c r="D212" s="12" t="inlineStr">
        <is>
          <t>本文の形式がJSONでないとリクエスト形式エラー（415）になる</t>
        </is>
      </c>
      <c r="E212" s="12" t="inlineStr">
        <is>
          <t>-</t>
        </is>
      </c>
      <c r="F212" s="12" t="inlineStr">
        <is>
          <t>一般ユーザー（ID=1）でPOST /api/favoritesに、Content-Type: text/plainの本文を送る</t>
        </is>
      </c>
      <c r="G212" s="12" t="inlineStr">
        <is>
          <t>415「リクエストの形式が不正です」（E-V-030）。500にはならない</t>
        </is>
      </c>
      <c r="H212" s="12" t="inlineStr">
        <is>
          <t>favoritesは変更されない</t>
        </is>
      </c>
      <c r="I212" s="12" t="inlineStr">
        <is>
          <t>-</t>
        </is>
      </c>
      <c r="J212" s="12" t="inlineStr">
        <is>
          <t>33_共通詳細設計書 3.1</t>
        </is>
      </c>
      <c r="K212" s="12" t="inlineStr">
        <is>
          <t>自動</t>
        </is>
      </c>
      <c r="L212" s="12" t="inlineStr">
        <is>
          <t>cmn_JSON以外の形式の本文は415になる</t>
        </is>
      </c>
      <c r="M212" s="12" t="inlineStr">
        <is>
          <t>OK</t>
        </is>
      </c>
      <c r="N212" s="23" t="n">
        <v>46304</v>
      </c>
      <c r="O212" s="12" t="inlineStr">
        <is>
          <t>佐々木（Claude Code）</t>
        </is>
      </c>
      <c r="P212" s="12" t="inlineStr">
        <is>
          <t>自動テスト成功（Issue #17 の修正で追加）</t>
        </is>
      </c>
      <c r="Q212" s="12" t="inlineStr">
        <is>
          <t>evidence/IT/IT_API結合_結果一覧_20261009.txt</t>
        </is>
      </c>
      <c r="R212" s="12" t="n"/>
      <c r="S212" s="12" t="n"/>
      <c r="T212" s="12" t="n"/>
    </row>
  </sheetData>
  <autoFilter ref="A1:T212"/>
  <conditionalFormatting sqref="M2:M212">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12">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12" showDropDown="0" showInputMessage="0" showErrorMessage="0" allowBlank="1" type="list">
      <formula1>"OK,NG,保留,対象外"</formula1>
    </dataValidation>
    <dataValidation sqref="S2:S212"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I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inlineStr">
        <is>
          <t>OK</t>
        </is>
      </c>
      <c r="N2" s="23" t="n">
        <v>46308</v>
      </c>
      <c r="O2" s="12" t="inlineStr">
        <is>
          <t>佐々木</t>
        </is>
      </c>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inlineStr">
        <is>
          <t>OK</t>
        </is>
      </c>
      <c r="N3" s="23" t="n">
        <v>46308</v>
      </c>
      <c r="O3" s="12" t="inlineStr">
        <is>
          <t>佐々木</t>
        </is>
      </c>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inlineStr">
        <is>
          <t>OK</t>
        </is>
      </c>
      <c r="N4" s="23" t="n">
        <v>46308</v>
      </c>
      <c r="O4" s="12" t="inlineStr">
        <is>
          <t>佐々木</t>
        </is>
      </c>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inlineStr">
        <is>
          <t>OK</t>
        </is>
      </c>
      <c r="N5" s="23" t="n">
        <v>46308</v>
      </c>
      <c r="O5" s="12" t="inlineStr">
        <is>
          <t>佐々木</t>
        </is>
      </c>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inlineStr">
        <is>
          <t>OK</t>
        </is>
      </c>
      <c r="N6" s="23" t="n">
        <v>46308</v>
      </c>
      <c r="O6" s="12" t="inlineStr">
        <is>
          <t>佐々木</t>
        </is>
      </c>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inlineStr">
        <is>
          <t>OK</t>
        </is>
      </c>
      <c r="N7" s="23" t="n">
        <v>46308</v>
      </c>
      <c r="O7" s="12" t="inlineStr">
        <is>
          <t>佐々木</t>
        </is>
      </c>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inlineStr">
        <is>
          <t>OK</t>
        </is>
      </c>
      <c r="N8" s="23" t="n">
        <v>46308</v>
      </c>
      <c r="O8" s="12" t="inlineStr">
        <is>
          <t>佐々木</t>
        </is>
      </c>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inlineStr">
        <is>
          <t>OK</t>
        </is>
      </c>
      <c r="N9" s="23" t="n">
        <v>46308</v>
      </c>
      <c r="O9" s="12" t="inlineStr">
        <is>
          <t>佐々木</t>
        </is>
      </c>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inlineStr">
        <is>
          <t>OK</t>
        </is>
      </c>
      <c r="N10" s="23" t="n">
        <v>46308</v>
      </c>
      <c r="O10" s="12" t="inlineStr">
        <is>
          <t>佐々木</t>
        </is>
      </c>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inlineStr">
        <is>
          <t>OK</t>
        </is>
      </c>
      <c r="N11" s="23" t="n">
        <v>46308</v>
      </c>
      <c r="O11" s="12" t="inlineStr">
        <is>
          <t>佐々木</t>
        </is>
      </c>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inlineStr">
        <is>
          <t>OK</t>
        </is>
      </c>
      <c r="N12" s="23" t="n">
        <v>46308</v>
      </c>
      <c r="O12" s="12" t="inlineStr">
        <is>
          <t>佐々木</t>
        </is>
      </c>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inlineStr">
        <is>
          <t>OK</t>
        </is>
      </c>
      <c r="N13" s="23" t="n">
        <v>46308</v>
      </c>
      <c r="O13" s="12" t="inlineStr">
        <is>
          <t>佐々木</t>
        </is>
      </c>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inlineStr">
        <is>
          <t>OK</t>
        </is>
      </c>
      <c r="N14" s="23" t="n">
        <v>46308</v>
      </c>
      <c r="O14" s="12" t="inlineStr">
        <is>
          <t>佐々木</t>
        </is>
      </c>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inlineStr">
        <is>
          <t>OK</t>
        </is>
      </c>
      <c r="N15" s="23" t="n">
        <v>46308</v>
      </c>
      <c r="O15" s="12" t="inlineStr">
        <is>
          <t>佐々木</t>
        </is>
      </c>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inlineStr">
        <is>
          <t>OK</t>
        </is>
      </c>
      <c r="N16" s="23" t="n">
        <v>46308</v>
      </c>
      <c r="O16" s="12" t="inlineStr">
        <is>
          <t>佐々木</t>
        </is>
      </c>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inlineStr">
        <is>
          <t>OK</t>
        </is>
      </c>
      <c r="N17" s="23" t="n">
        <v>46308</v>
      </c>
      <c r="O17" s="12" t="inlineStr">
        <is>
          <t>佐々木</t>
        </is>
      </c>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inlineStr">
        <is>
          <t>OK</t>
        </is>
      </c>
      <c r="N18" s="23" t="n">
        <v>46308</v>
      </c>
      <c r="O18" s="12" t="inlineStr">
        <is>
          <t>佐々木</t>
        </is>
      </c>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inlineStr">
        <is>
          <t>OK</t>
        </is>
      </c>
      <c r="N19" s="23" t="n">
        <v>46308</v>
      </c>
      <c r="O19" s="12" t="inlineStr">
        <is>
          <t>佐々木</t>
        </is>
      </c>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n"/>
      <c r="N20" s="12" t="n"/>
      <c r="O20" s="12" t="n"/>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n"/>
      <c r="N21" s="12" t="n"/>
      <c r="O21" s="12" t="n"/>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n"/>
      <c r="N22" s="12" t="n"/>
      <c r="O22" s="12" t="n"/>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n"/>
      <c r="N23" s="12" t="n"/>
      <c r="O23" s="12" t="n"/>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n"/>
      <c r="N24" s="12" t="n"/>
      <c r="O24" s="12" t="n"/>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n"/>
      <c r="N25" s="12" t="n"/>
      <c r="O25" s="12" t="n"/>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n"/>
      <c r="N26" s="12" t="n"/>
      <c r="O26" s="12" t="n"/>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n"/>
      <c r="N27" s="12" t="n"/>
      <c r="O27" s="12" t="n"/>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n"/>
      <c r="N28" s="12" t="n"/>
      <c r="O28" s="12" t="n"/>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n"/>
      <c r="N29" s="12" t="n"/>
      <c r="O29" s="12" t="n"/>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n"/>
      <c r="N30" s="12" t="n"/>
      <c r="O30" s="12" t="n"/>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n"/>
      <c r="N31" s="12" t="n"/>
      <c r="O31" s="12" t="n"/>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n"/>
      <c r="N32" s="12" t="n"/>
      <c r="O32" s="12" t="n"/>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n"/>
      <c r="N33" s="12" t="n"/>
      <c r="O33" s="12" t="n"/>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n"/>
      <c r="N34" s="12" t="n"/>
      <c r="O34" s="12" t="n"/>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n"/>
      <c r="N35" s="12" t="n"/>
      <c r="O35" s="12" t="n"/>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n"/>
      <c r="N36" s="12" t="n"/>
      <c r="O36" s="12" t="n"/>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n"/>
      <c r="N37" s="12" t="n"/>
      <c r="O37" s="12" t="n"/>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n"/>
      <c r="N38" s="12" t="n"/>
      <c r="O38" s="12" t="n"/>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n"/>
      <c r="N39" s="12" t="n"/>
      <c r="O39" s="12" t="n"/>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n"/>
      <c r="N40" s="12" t="n"/>
      <c r="O40" s="12" t="n"/>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n"/>
      <c r="N41" s="12" t="n"/>
      <c r="O41" s="12" t="n"/>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n"/>
      <c r="N42" s="12" t="n"/>
      <c r="O42" s="12" t="n"/>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n"/>
      <c r="N43" s="12" t="n"/>
      <c r="O43" s="12" t="n"/>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n"/>
      <c r="N44" s="12" t="n"/>
      <c r="O44" s="12" t="n"/>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n"/>
      <c r="N45" s="12" t="n"/>
      <c r="O45" s="12" t="n"/>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n"/>
      <c r="N46" s="12" t="n"/>
      <c r="O46" s="12" t="n"/>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n"/>
      <c r="N47" s="12" t="n"/>
      <c r="O47" s="12" t="n"/>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n"/>
      <c r="N48" s="12" t="n"/>
      <c r="O48" s="12" t="n"/>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n"/>
      <c r="N49" s="12" t="n"/>
      <c r="O49" s="12" t="n"/>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項目⑭</t>
        </is>
      </c>
      <c r="K50" s="12" t="inlineStr">
        <is>
          <t>手動</t>
        </is>
      </c>
      <c r="L50" s="12" t="n"/>
      <c r="M50" s="12" t="n"/>
      <c r="N50" s="12" t="n"/>
      <c r="O50" s="12" t="n"/>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n"/>
      <c r="N51" s="12" t="n"/>
      <c r="O51" s="12" t="n"/>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n"/>
      <c r="N52" s="12" t="n"/>
      <c r="O52" s="12" t="n"/>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t>
        </is>
      </c>
      <c r="J53" s="12" t="inlineStr">
        <is>
          <t>SC-021 イベント処理5</t>
        </is>
      </c>
      <c r="K53" s="12" t="inlineStr">
        <is>
          <t>手動</t>
        </is>
      </c>
      <c r="L53" s="12" t="n"/>
      <c r="M53" s="12" t="n"/>
      <c r="N53" s="12" t="n"/>
      <c r="O53" s="12" t="n"/>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イベント処理6</t>
        </is>
      </c>
      <c r="K54" s="12" t="inlineStr">
        <is>
          <t>手動</t>
        </is>
      </c>
      <c r="L54" s="12" t="n"/>
      <c r="M54" s="12" t="n"/>
      <c r="N54" s="12" t="n"/>
      <c r="O54" s="12" t="n"/>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n"/>
      <c r="N55" s="12" t="n"/>
      <c r="O55" s="12" t="n"/>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n"/>
      <c r="N56" s="12" t="n"/>
      <c r="O56" s="12" t="n"/>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t>
        </is>
      </c>
      <c r="J57" s="12" t="inlineStr">
        <is>
          <t>SC-022 項目①</t>
        </is>
      </c>
      <c r="K57" s="12" t="inlineStr">
        <is>
          <t>手動</t>
        </is>
      </c>
      <c r="L57" s="12" t="n"/>
      <c r="M57" s="12" t="n"/>
      <c r="N57" s="12" t="n"/>
      <c r="O57" s="12" t="n"/>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n"/>
      <c r="N58" s="12" t="n"/>
      <c r="O58" s="12" t="n"/>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n"/>
      <c r="N59" s="12" t="n"/>
      <c r="O59" s="12" t="n"/>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n"/>
      <c r="N60" s="12" t="n"/>
      <c r="O60" s="12" t="n"/>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n"/>
      <c r="N61" s="12" t="n"/>
      <c r="O61" s="12" t="n"/>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n"/>
      <c r="N62" s="12" t="n"/>
      <c r="O62" s="12" t="n"/>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n"/>
      <c r="N63" s="12" t="n"/>
      <c r="O63" s="12" t="n"/>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n"/>
      <c r="N64" s="12" t="n"/>
      <c r="O64" s="12" t="n"/>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n"/>
      <c r="N65" s="12" t="n"/>
      <c r="O65" s="12" t="n"/>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n"/>
      <c r="N66" s="12" t="n"/>
      <c r="O66" s="12" t="n"/>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n"/>
      <c r="N67" s="12" t="n"/>
      <c r="O67" s="12" t="n"/>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n"/>
      <c r="N68" s="12" t="n"/>
      <c r="O68" s="12" t="n"/>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n"/>
      <c r="N69" s="12" t="n"/>
      <c r="O69" s="12" t="n"/>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n"/>
      <c r="N70" s="12" t="n"/>
      <c r="O70" s="12" t="n"/>
      <c r="P70" s="12" t="n"/>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n"/>
      <c r="N71" s="12" t="n"/>
      <c r="O71" s="12" t="n"/>
      <c r="P71" s="12" t="n"/>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n"/>
      <c r="N72" s="12" t="n"/>
      <c r="O72" s="12" t="n"/>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n"/>
      <c r="N73" s="12" t="n"/>
      <c r="O73" s="12" t="n"/>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n"/>
      <c r="N74" s="12" t="n"/>
      <c r="O74" s="12" t="n"/>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n"/>
      <c r="N76" s="12" t="n"/>
      <c r="O76" s="12" t="n"/>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J74"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3"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修正済み（再確認OK）</t>
        </is>
      </c>
      <c r="I2" s="16" t="n"/>
      <c r="J2" s="24" t="n">
        <v>46304</v>
      </c>
      <c r="K2" s="16" t="inlineStr">
        <is>
          <t>OK</t>
        </is>
      </c>
    </row>
    <row r="3" ht="39" customHeight="1">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18" t="inlineStr">
        <is>
          <t>#18</t>
        </is>
      </c>
      <c r="H3" s="16" t="inlineStr">
        <is>
          <t>修正済み（再テストOK）</t>
        </is>
      </c>
      <c r="I3" s="16" t="n"/>
      <c r="J3" s="24" t="n">
        <v>46304</v>
      </c>
      <c r="K3"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A5CECB6A-F27A-4032-87E4-CC6D5CF3505A}"/>
</file>

<file path=customXml/itemProps2.xml><?xml version="1.0" encoding="utf-8"?>
<ds:datastoreItem xmlns:ds="http://schemas.openxmlformats.org/officeDocument/2006/customXml" ds:itemID="{B2F084F3-302E-4CBC-927B-CB4887B418DE}"/>
</file>

<file path=customXml/itemProps3.xml><?xml version="1.0" encoding="utf-8"?>
<ds:datastoreItem xmlns:ds="http://schemas.openxmlformats.org/officeDocument/2006/customXml" ds:itemID="{300BB5C6-51F8-48CE-8ECB-8F6750A848F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2026-10-13T02:57:56Z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