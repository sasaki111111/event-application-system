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'UT'!$A$1:$T$176</definedName>
    <definedName name="_xlnm._FilterDatabase" localSheetId="2" hidden="1">'IT_API結合'!$A$1:$T$209</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color rgb="000563C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0" fontId="7"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abSelected="1"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18"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175</v>
      </c>
      <c r="D11" s="6">
        <f>COUNTIF(UT!M2:M176,"OK")</f>
        <v/>
      </c>
      <c r="E11" s="6">
        <f>COUNTIF(UT!M2:M176,"NG")</f>
        <v/>
      </c>
      <c r="F11" s="6">
        <f>COUNTIF(UT!M2:M176,"保留")</f>
        <v/>
      </c>
      <c r="G11" s="6">
        <f>COUNTIF(UT!M2:M176,"対象外")</f>
        <v/>
      </c>
      <c r="H11" s="6">
        <f>C11-SUM(D11:G11)</f>
        <v/>
      </c>
      <c r="I11" s="19">
        <f>IF(C11=0,0,(D11+E11+G11)/C11)</f>
        <v/>
      </c>
    </row>
    <row r="12" ht="14" customHeight="1">
      <c r="A12" s="6" t="inlineStr">
        <is>
          <t>IT</t>
        </is>
      </c>
      <c r="B12" s="6" t="inlineStr">
        <is>
          <t>結合テスト（API結合）</t>
        </is>
      </c>
      <c r="C12" s="6" t="n">
        <v>208</v>
      </c>
      <c r="D12" s="6">
        <f>COUNTIF(IT_API結合!M2:M209,"OK")</f>
        <v/>
      </c>
      <c r="E12" s="6">
        <f>COUNTIF(IT_API結合!M2:M209,"NG")</f>
        <v/>
      </c>
      <c r="F12" s="6">
        <f>COUNTIF(IT_API結合!M2:M209,"保留")</f>
        <v/>
      </c>
      <c r="G12" s="6">
        <f>COUNTIF(IT_API結合!M2:M209,"対象外")</f>
        <v/>
      </c>
      <c r="H12" s="6">
        <f>C12-SUM(D12:G12)</f>
        <v/>
      </c>
      <c r="I12" s="19">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19">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19">
        <f>IF(C14=0,0,(D14+E14+G14)/C14)</f>
        <v/>
      </c>
    </row>
    <row r="15" ht="14" customHeight="1">
      <c r="A15" s="8" t="inlineStr">
        <is>
          <t>合計</t>
        </is>
      </c>
      <c r="B15" s="6" t="n"/>
      <c r="C15" s="8">
        <f>SUM(C11:C14)</f>
        <v/>
      </c>
      <c r="D15" s="8">
        <f>SUM(D11:D14)</f>
        <v/>
      </c>
      <c r="E15" s="8">
        <f>SUM(E11:E14)</f>
        <v/>
      </c>
      <c r="F15" s="8">
        <f>SUM(F11:F14)</f>
        <v/>
      </c>
      <c r="G15" s="8">
        <f>SUM(G11:G14)</f>
        <v/>
      </c>
      <c r="H15" s="8">
        <f>SUM(H11:H14)</f>
        <v/>
      </c>
      <c r="I15" s="20">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6"/>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1"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1"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1"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1"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1"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1"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1"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1"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1"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1"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1"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1"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1"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1"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1"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1"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1"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1"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1"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1"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1"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1"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1"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1"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1"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1"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1"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1"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1"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1"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1"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1"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1"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1"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1"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1"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1"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1"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1"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1"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1"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1"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1"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1"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1"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1"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1"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1"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1"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1"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1"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1"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1"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1"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1"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1"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1"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1"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1"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1"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1"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1"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1"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1"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1"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1"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1"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1"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1"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1"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1"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1"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1"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1"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1"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1"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1"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1"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1"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1"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1"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1"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1"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1"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1"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1"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1"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1"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1"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1"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1"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1"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1"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1"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1"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1"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1"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1"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1"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1"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1"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1"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1"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1"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1"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1"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1"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1"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1"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1"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1"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1"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1"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1"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1"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1"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1"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1"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1"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1"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1"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1"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1"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1"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1"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1"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1"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1"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1"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1"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1"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1"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1"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1"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1"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1"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1"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1"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1"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1"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1"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1"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1"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1"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1"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1"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1"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1"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1"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1"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1"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1"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1"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1"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1"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1"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1"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1"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1"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1"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1"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1"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1"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1"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1"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1"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1"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1"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1"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1"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1"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1"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1"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1"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1" t="n">
        <v>46302</v>
      </c>
      <c r="O176" s="12" t="inlineStr">
        <is>
          <t>佐々木（Claude Code）</t>
        </is>
      </c>
      <c r="P176" s="12" t="inlineStr">
        <is>
          <t>自動テスト成功</t>
        </is>
      </c>
      <c r="Q176" s="12" t="inlineStr">
        <is>
          <t>evidence/UT/UT_フロントエンド_結果一覧_20261007.txt</t>
        </is>
      </c>
      <c r="R176" s="12" t="n"/>
      <c r="S176" s="12" t="n"/>
      <c r="T176" s="12" t="n"/>
    </row>
  </sheetData>
  <autoFilter ref="A1:T176"/>
  <conditionalFormatting sqref="M2:M176">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6">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6" showDropDown="0" showInputMessage="0" showErrorMessage="0" allowBlank="1" type="list">
      <formula1>"OK,NG,保留,対象外"</formula1>
    </dataValidation>
    <dataValidation sqref="S2:S176"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09"/>
  <sheetViews>
    <sheetView workbookViewId="0">
      <pane xSplit="3" ySplit="1" topLeftCell="J93"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1"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1"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1"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1"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1"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1"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1"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1"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1"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1"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1"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1"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1"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1"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1"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1"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1"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1"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1"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1"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1"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1"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1"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1"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1"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1"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1"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1"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1"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1"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1"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1"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1"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1"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1"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1"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1"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1"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1"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1"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1"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1"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1"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1"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1"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n"/>
      <c r="N47" s="12" t="n"/>
      <c r="O47" s="12" t="n"/>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1"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1"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1"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1"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1"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1"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1"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1"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1"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1"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n"/>
      <c r="N58" s="12" t="n"/>
      <c r="O58" s="12" t="n"/>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1"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1"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1"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1"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1"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1"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1"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1"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1"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1"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1"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1"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1"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1"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1"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1"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1" t="n">
        <v>46304</v>
      </c>
      <c r="O75" s="12" t="inlineStr">
        <is>
          <t>佐々木</t>
        </is>
      </c>
      <c r="P75" s="12" t="inlineStr">
        <is>
          <t>201が返り、申込が登録された（ticketTypeIdはnull、statusCode=1）。applicationsにID=2（event_id=53、user_id=1）の行が追加された</t>
        </is>
      </c>
      <c r="Q75" s="15" t="inlineStr">
        <is>
          <t>45_テストエビデンス_API結合.xlsx／AP-030</t>
        </is>
      </c>
      <c r="R75" s="22" t="inlineStr">
        <is>
          <t>#18</t>
        </is>
      </c>
      <c r="S75" s="12" t="n"/>
      <c r="T75" s="12" t="n"/>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1"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1"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1"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1"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1"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1"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1"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1"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1"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1"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1"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1"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1"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1"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1"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1"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1"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1"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1"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1"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1"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1"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1"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1"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1"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1"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1"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1"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1"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1"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1"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1"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1"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1"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1"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1"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1"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1"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1"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1"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1"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1"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1"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1"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1"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1"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n"/>
      <c r="N122" s="12" t="n"/>
      <c r="O122" s="12" t="n"/>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n"/>
      <c r="N123" s="12" t="n"/>
      <c r="O123" s="12" t="n"/>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1"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1"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n"/>
      <c r="N126" s="12" t="n"/>
      <c r="O126" s="12" t="n"/>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n"/>
      <c r="N127" s="12" t="n"/>
      <c r="O127" s="12" t="n"/>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n"/>
      <c r="N128" s="12" t="n"/>
      <c r="O128" s="12" t="n"/>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1"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n"/>
      <c r="N130" s="12" t="n"/>
      <c r="O130" s="12" t="n"/>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n"/>
      <c r="N131" s="12" t="n"/>
      <c r="O131" s="12" t="n"/>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n"/>
      <c r="N132" s="12" t="n"/>
      <c r="O132" s="12" t="n"/>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n"/>
      <c r="N133" s="12" t="n"/>
      <c r="O133" s="12" t="n"/>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n"/>
      <c r="N134" s="12" t="n"/>
      <c r="O134" s="12" t="n"/>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n"/>
      <c r="N135" s="12" t="n"/>
      <c r="O135" s="12" t="n"/>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1"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1"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n"/>
      <c r="N138" s="12" t="n"/>
      <c r="O138" s="12" t="n"/>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n"/>
      <c r="N139" s="12" t="n"/>
      <c r="O139" s="12" t="n"/>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n"/>
      <c r="N140" s="12" t="n"/>
      <c r="O140" s="12" t="n"/>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n"/>
      <c r="N141" s="12" t="n"/>
      <c r="O141" s="12" t="n"/>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1"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n"/>
      <c r="N143" s="12" t="n"/>
      <c r="O143" s="12" t="n"/>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n"/>
      <c r="N144" s="12" t="n"/>
      <c r="O144" s="12" t="n"/>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n"/>
      <c r="N145" s="12" t="n"/>
      <c r="O145" s="12" t="n"/>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n"/>
      <c r="N146" s="12" t="n"/>
      <c r="O146" s="12" t="n"/>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n"/>
      <c r="N147" s="12" t="n"/>
      <c r="O147" s="12" t="n"/>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n"/>
      <c r="N148" s="12" t="n"/>
      <c r="O148" s="12" t="n"/>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n"/>
      <c r="N149" s="12" t="n"/>
      <c r="O149" s="12" t="n"/>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n"/>
      <c r="N150" s="12" t="n"/>
      <c r="O150" s="12" t="n"/>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n"/>
      <c r="N151" s="12" t="n"/>
      <c r="O151" s="12" t="n"/>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n"/>
      <c r="N152" s="12" t="n"/>
      <c r="O152" s="12" t="n"/>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n"/>
      <c r="N153" s="12" t="n"/>
      <c r="O153" s="12" t="n"/>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n"/>
      <c r="N154" s="12" t="n"/>
      <c r="O154" s="12" t="n"/>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n"/>
      <c r="N155" s="12" t="n"/>
      <c r="O155" s="12" t="n"/>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n"/>
      <c r="N156" s="12" t="n"/>
      <c r="O156" s="12" t="n"/>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n"/>
      <c r="N157" s="12" t="n"/>
      <c r="O157" s="12" t="n"/>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n"/>
      <c r="N158" s="12" t="n"/>
      <c r="O158" s="12" t="n"/>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n"/>
      <c r="N159" s="12" t="n"/>
      <c r="O159" s="12" t="n"/>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n"/>
      <c r="N160" s="12" t="n"/>
      <c r="O160" s="12" t="n"/>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n"/>
      <c r="N161" s="12" t="n"/>
      <c r="O161" s="12" t="n"/>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n"/>
      <c r="N162" s="12" t="n"/>
      <c r="O162" s="12" t="n"/>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n"/>
      <c r="N163" s="12" t="n"/>
      <c r="O163" s="12" t="n"/>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n"/>
      <c r="N164" s="12" t="n"/>
      <c r="O164" s="12" t="n"/>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n"/>
      <c r="N165" s="12" t="n"/>
      <c r="O165" s="12" t="n"/>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n"/>
      <c r="N166" s="12" t="n"/>
      <c r="O166" s="12" t="n"/>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n"/>
      <c r="N167" s="12" t="n"/>
      <c r="O167" s="12" t="n"/>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n"/>
      <c r="N168" s="12" t="n"/>
      <c r="O168" s="12" t="n"/>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n"/>
      <c r="N169" s="12" t="n"/>
      <c r="O169" s="12" t="n"/>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n"/>
      <c r="N170" s="12" t="n"/>
      <c r="O170" s="12" t="n"/>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n"/>
      <c r="N171" s="12" t="n"/>
      <c r="O171" s="12" t="n"/>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n"/>
      <c r="N172" s="12" t="n"/>
      <c r="O172" s="12" t="n"/>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n"/>
      <c r="N173" s="12" t="n"/>
      <c r="O173" s="12" t="n"/>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1"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1"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1"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n"/>
      <c r="N177" s="12" t="n"/>
      <c r="O177" s="12" t="n"/>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1"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1"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1"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n"/>
      <c r="N181" s="12" t="n"/>
      <c r="O181" s="12" t="n"/>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n"/>
      <c r="N182" s="12" t="n"/>
      <c r="O182" s="12" t="n"/>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n"/>
      <c r="N183" s="12" t="n"/>
      <c r="O183" s="12" t="n"/>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n"/>
      <c r="N184" s="12" t="n"/>
      <c r="O184" s="12" t="n"/>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1"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1"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1"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1"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n"/>
      <c r="N189" s="12" t="n"/>
      <c r="O189" s="12" t="n"/>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n"/>
      <c r="N190" s="12" t="n"/>
      <c r="O190" s="12" t="n"/>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1"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n"/>
      <c r="N192" s="12" t="n"/>
      <c r="O192" s="12" t="n"/>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n"/>
      <c r="N193" s="12" t="n"/>
      <c r="O193" s="12" t="n"/>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1"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n"/>
      <c r="N195" s="12" t="n"/>
      <c r="O195" s="12" t="n"/>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n"/>
      <c r="N196" s="12" t="n"/>
      <c r="O196" s="12" t="n"/>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1"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1"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1"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n"/>
      <c r="N200" s="12" t="n"/>
      <c r="O200" s="12" t="n"/>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n"/>
      <c r="N201" s="12" t="n"/>
      <c r="O201" s="12" t="n"/>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1"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1"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1"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1"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1"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1"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n"/>
      <c r="N208" s="12" t="n"/>
      <c r="O208" s="12" t="n"/>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n"/>
      <c r="N209" s="12" t="n"/>
      <c r="O209" s="12" t="n"/>
      <c r="P209" s="12" t="n"/>
      <c r="Q209" s="15" t="inlineStr">
        <is>
          <t>45_テストエビデンス_API結合.xlsx／AP-900</t>
        </is>
      </c>
      <c r="R209" s="12" t="n"/>
      <c r="S209" s="12" t="n"/>
      <c r="T209" s="12" t="n"/>
    </row>
  </sheetData>
  <autoFilter ref="A1:T209"/>
  <conditionalFormatting sqref="M2:M209">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09">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09" showDropDown="0" showInputMessage="0" showErrorMessage="0" allowBlank="1" type="list">
      <formula1>"OK,NG,保留,対象外"</formula1>
    </dataValidation>
    <dataValidation sqref="S2:S209"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n"/>
      <c r="N2" s="12" t="n"/>
      <c r="O2" s="12" t="n"/>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n"/>
      <c r="N3" s="12" t="n"/>
      <c r="O3" s="12" t="n"/>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n"/>
      <c r="N4" s="12" t="n"/>
      <c r="O4" s="12" t="n"/>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n"/>
      <c r="N5" s="12" t="n"/>
      <c r="O5" s="12" t="n"/>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n"/>
      <c r="N6" s="12" t="n"/>
      <c r="O6" s="12" t="n"/>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n"/>
      <c r="N7" s="12" t="n"/>
      <c r="O7" s="12" t="n"/>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n"/>
      <c r="N8" s="12" t="n"/>
      <c r="O8" s="12" t="n"/>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n"/>
      <c r="N9" s="12" t="n"/>
      <c r="O9" s="12" t="n"/>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n"/>
      <c r="N10" s="12" t="n"/>
      <c r="O10" s="12" t="n"/>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n"/>
      <c r="N11" s="12" t="n"/>
      <c r="O11" s="12" t="n"/>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n"/>
      <c r="N12" s="12" t="n"/>
      <c r="O12" s="12" t="n"/>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n"/>
      <c r="N13" s="12" t="n"/>
      <c r="O13" s="12" t="n"/>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n"/>
      <c r="N14" s="12" t="n"/>
      <c r="O14" s="12" t="n"/>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n"/>
      <c r="N15" s="12" t="n"/>
      <c r="O15" s="12" t="n"/>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n"/>
      <c r="N16" s="12" t="n"/>
      <c r="O16" s="12" t="n"/>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n"/>
      <c r="N17" s="12" t="n"/>
      <c r="O17" s="12" t="n"/>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n"/>
      <c r="N18" s="12" t="n"/>
      <c r="O18" s="12" t="n"/>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n"/>
      <c r="N19" s="12" t="n"/>
      <c r="O19" s="12" t="n"/>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n"/>
      <c r="N20" s="12" t="n"/>
      <c r="O20" s="12" t="n"/>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n"/>
      <c r="N21" s="12" t="n"/>
      <c r="O21" s="12" t="n"/>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n"/>
      <c r="N22" s="12" t="n"/>
      <c r="O22" s="12" t="n"/>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n"/>
      <c r="N23" s="12" t="n"/>
      <c r="O23" s="12" t="n"/>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n"/>
      <c r="N24" s="12" t="n"/>
      <c r="O24" s="12" t="n"/>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n"/>
      <c r="N25" s="12" t="n"/>
      <c r="O25" s="12" t="n"/>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n"/>
      <c r="N26" s="12" t="n"/>
      <c r="O26" s="12" t="n"/>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n"/>
      <c r="N27" s="12" t="n"/>
      <c r="O27" s="12" t="n"/>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n"/>
      <c r="N28" s="12" t="n"/>
      <c r="O28" s="12" t="n"/>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n"/>
      <c r="N29" s="12" t="n"/>
      <c r="O29" s="12" t="n"/>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n"/>
      <c r="N30" s="12" t="n"/>
      <c r="O30" s="12" t="n"/>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n"/>
      <c r="N31" s="12" t="n"/>
      <c r="O31" s="12" t="n"/>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n"/>
      <c r="N32" s="12" t="n"/>
      <c r="O32" s="12" t="n"/>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n"/>
      <c r="N33" s="12" t="n"/>
      <c r="O33" s="12" t="n"/>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n"/>
      <c r="N34" s="12" t="n"/>
      <c r="O34" s="12" t="n"/>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n"/>
      <c r="N35" s="12" t="n"/>
      <c r="O35" s="12" t="n"/>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n"/>
      <c r="N36" s="12" t="n"/>
      <c r="O36" s="12" t="n"/>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n"/>
      <c r="N37" s="12" t="n"/>
      <c r="O37" s="12" t="n"/>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n"/>
      <c r="N38" s="12" t="n"/>
      <c r="O38" s="12" t="n"/>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n"/>
      <c r="N39" s="12" t="n"/>
      <c r="O39" s="12" t="n"/>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n"/>
      <c r="N40" s="12" t="n"/>
      <c r="O40" s="12" t="n"/>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n"/>
      <c r="N41" s="12" t="n"/>
      <c r="O41" s="12" t="n"/>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n"/>
      <c r="N42" s="12" t="n"/>
      <c r="O42" s="12" t="n"/>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n"/>
      <c r="N43" s="12" t="n"/>
      <c r="O43" s="12" t="n"/>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n"/>
      <c r="N44" s="12" t="n"/>
      <c r="O44" s="12" t="n"/>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n"/>
      <c r="N45" s="12" t="n"/>
      <c r="O45" s="12" t="n"/>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n"/>
      <c r="N46" s="12" t="n"/>
      <c r="O46" s="12" t="n"/>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n"/>
      <c r="N47" s="12" t="n"/>
      <c r="O47" s="12" t="n"/>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n"/>
      <c r="N48" s="12" t="n"/>
      <c r="O48" s="12" t="n"/>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n"/>
      <c r="N49" s="12" t="n"/>
      <c r="O49" s="12" t="n"/>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項目⑭</t>
        </is>
      </c>
      <c r="K50" s="12" t="inlineStr">
        <is>
          <t>手動</t>
        </is>
      </c>
      <c r="L50" s="12" t="n"/>
      <c r="M50" s="12" t="n"/>
      <c r="N50" s="12" t="n"/>
      <c r="O50" s="12" t="n"/>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n"/>
      <c r="N51" s="12" t="n"/>
      <c r="O51" s="12" t="n"/>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n"/>
      <c r="N52" s="12" t="n"/>
      <c r="O52" s="12" t="n"/>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t>
        </is>
      </c>
      <c r="J53" s="12" t="inlineStr">
        <is>
          <t>SC-021 イベント処理5</t>
        </is>
      </c>
      <c r="K53" s="12" t="inlineStr">
        <is>
          <t>手動</t>
        </is>
      </c>
      <c r="L53" s="12" t="n"/>
      <c r="M53" s="12" t="n"/>
      <c r="N53" s="12" t="n"/>
      <c r="O53" s="12" t="n"/>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イベント処理6</t>
        </is>
      </c>
      <c r="K54" s="12" t="inlineStr">
        <is>
          <t>手動</t>
        </is>
      </c>
      <c r="L54" s="12" t="n"/>
      <c r="M54" s="12" t="n"/>
      <c r="N54" s="12" t="n"/>
      <c r="O54" s="12" t="n"/>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n"/>
      <c r="N55" s="12" t="n"/>
      <c r="O55" s="12" t="n"/>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n"/>
      <c r="N56" s="12" t="n"/>
      <c r="O56" s="12" t="n"/>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t>
        </is>
      </c>
      <c r="J57" s="12" t="inlineStr">
        <is>
          <t>SC-022 項目①</t>
        </is>
      </c>
      <c r="K57" s="12" t="inlineStr">
        <is>
          <t>手動</t>
        </is>
      </c>
      <c r="L57" s="12" t="n"/>
      <c r="M57" s="12" t="n"/>
      <c r="N57" s="12" t="n"/>
      <c r="O57" s="12" t="n"/>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n"/>
      <c r="N58" s="12" t="n"/>
      <c r="O58" s="12" t="n"/>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n"/>
      <c r="N59" s="12" t="n"/>
      <c r="O59" s="12" t="n"/>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n"/>
      <c r="N60" s="12" t="n"/>
      <c r="O60" s="12" t="n"/>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n"/>
      <c r="N62" s="12" t="n"/>
      <c r="O62" s="12" t="n"/>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n"/>
      <c r="N64" s="12" t="n"/>
      <c r="O64" s="12" t="n"/>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n"/>
      <c r="N65" s="12" t="n"/>
      <c r="O65" s="12" t="n"/>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n"/>
      <c r="N66" s="12" t="n"/>
      <c r="O66" s="12" t="n"/>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1"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未対応</t>
        </is>
      </c>
      <c r="I2" s="16" t="n"/>
      <c r="J2" s="16" t="n"/>
      <c r="K2" s="16" t="n"/>
    </row>
    <row r="3">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22" t="inlineStr">
        <is>
          <t>#18</t>
        </is>
      </c>
      <c r="H3" s="16" t="inlineStr">
        <is>
          <t>未対応</t>
        </is>
      </c>
      <c r="I3" s="16" t="n"/>
      <c r="J3" s="16" t="n"/>
      <c r="K3" s="16" t="n"/>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72DEE6A3-3E60-4415-B6F4-30A0401FE053}"/>
</file>

<file path=customXml/itemProps2.xml><?xml version="1.0" encoding="utf-8"?>
<ds:datastoreItem xmlns:ds="http://schemas.openxmlformats.org/officeDocument/2006/customXml" ds:itemID="{C0468774-0084-4D05-981B-0469B1D2AED0}"/>
</file>

<file path=customXml/itemProps3.xml><?xml version="1.0" encoding="utf-8"?>
<ds:datastoreItem xmlns:ds="http://schemas.openxmlformats.org/officeDocument/2006/customXml" ds:itemID="{7E27FB40-061B-4063-8D78-7202FB00705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2026-10-09T05:06:42Z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