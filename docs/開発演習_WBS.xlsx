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6BB2A84C-45A3-4AB1-B7B9-797929F5FC1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G50" i="2"/>
</calcChain>
</file>

<file path=xl/sharedStrings.xml><?xml version="1.0" encoding="utf-8"?>
<sst xmlns="http://schemas.openxmlformats.org/spreadsheetml/2006/main" count="367" uniqueCount="218">
  <si>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</si>
  <si>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</si>
  <si>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</si>
  <si>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</si>
  <si>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</si>
  <si>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</si>
  <si>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</si>
  <si>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</si>
  <si>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</si>
  <si>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</si>
  <si>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</si>
  <si>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</si>
  <si>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</si>
  <si>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</si>
  <si>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</si>
  <si>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</si>
  <si>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</si>
  <si>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</si>
  <si>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</si>
  <si>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</si>
  <si>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</si>
  <si>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</si>
  <si>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</si>
  <si>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</si>
  <si>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</si>
  <si>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</si>
  <si>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</si>
  <si>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</si>
  <si>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</si>
  <si>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</si>
  <si>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</si>
  <si>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</si>
  <si>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</si>
  <si>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</si>
  <si>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</si>
  <si>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</si>
  <si>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</si>
  <si>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</si>
  <si>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</si>
  <si>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</si>
  <si>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</si>
  <si>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</si>
  <si>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</si>
  <si>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</si>
  <si>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</si>
  <si>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</si>
  <si>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</si>
  <si>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</si>
  <si>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</si>
  <si>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</si>
  <si>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</si>
  <si>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</si>
  <si>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</si>
  <si>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</si>
  <si>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</si>
  <si>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</si>
  <si>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</si>
  <si>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</si>
  <si>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</si>
  <si>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</si>
  <si>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</si>
  <si>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</si>
  <si>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</si>
  <si>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</si>
  <si>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</si>
  <si>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</si>
  <si>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</si>
  <si>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</si>
  <si>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</si>
  <si>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</si>
  <si>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</si>
  <si>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</si>
  <si>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</si>
  <si>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</si>
  <si>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</si>
  <si>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</si>
  <si>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</si>
  <si>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</si>
  <si>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</si>
  <si>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</si>
  <si>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</si>
  <si>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</si>
  <si>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</si>
  <si>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</si>
  <si>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</si>
  <si>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</si>
  <si>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</si>
  <si>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</si>
  <si>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</si>
  <si>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</si>
  <si>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</si>
  <si>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</si>
  <si>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</si>
  <si>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</si>
  <si>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</si>
  <si>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</si>
  <si>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</si>
  <si>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</si>
  <si>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</si>
  <si>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</si>
  <si>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</si>
  <si>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</si>
  <si>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</si>
  <si>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</si>
  <si>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</si>
  <si>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</si>
  <si>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</si>
  <si>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</si>
  <si>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</si>
  <si>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</si>
  <si>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</si>
  <si>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</si>
  <si>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</si>
  <si>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</si>
  <si>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</si>
  <si>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</si>
  <si>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</si>
  <si>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</si>
  <si>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</si>
  <si>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</si>
  <si>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</si>
  <si>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</si>
  <si>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</si>
  <si>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</si>
  <si>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</si>
  <si>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</si>
  <si>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</si>
  <si>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</si>
  <si>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</si>
  <si>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</si>
  <si>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</si>
  <si>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</si>
  <si>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</si>
  <si>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</si>
  <si>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</si>
  <si>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</si>
  <si>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</si>
  <si>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</si>
  <si>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</si>
  <si>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</si>
  <si>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</si>
  <si>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</si>
  <si>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</si>
  <si>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</si>
  <si>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</si>
  <si>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</si>
  <si>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</si>
  <si>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</si>
  <si>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</si>
  <si>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</si>
  <si>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</si>
  <si>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</si>
  <si>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</si>
  <si>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</si>
  <si>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</si>
  <si>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</si>
  <si>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</si>
  <si>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</si>
  <si>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</si>
  <si>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</si>
  <si>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</si>
  <si>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</si>
  <si>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</si>
  <si>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</si>
  <si>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</si>
  <si>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</si>
  <si>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</si>
  <si>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</si>
  <si>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</si>
  <si>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</si>
  <si>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</si>
  <si>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</si>
  <si>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</si>
  <si>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</si>
  <si>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</si>
  <si>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</si>
  <si>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</si>
  <si>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</si>
  <si>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</si>
  <si>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</si>
  <si>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</si>
  <si>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</si>
  <si>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</si>
  <si>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</si>
  <si>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</si>
  <si>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</si>
  <si>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</si>
  <si>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</si>
  <si>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</si>
  <si>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</si>
  <si>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</si>
  <si>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</si>
  <si>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</si>
  <si>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</si>
  <si>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</si>
  <si>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</si>
  <si>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</si>
  <si>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</si>
  <si>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</si>
  <si>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</si>
  <si>
    <t>I</t>
  </si>
  <si>
    <t>機能追加・最終テスト</t>
  </si>
  <si>
    <t>I-1</t>
  </si>
  <si>
    <t>機能追加</t>
  </si>
  <si>
    <t>ログイン方式変更・会員登録・イベント検索・カード型UI等の追加実装</t>
  </si>
  <si>
    <t>追加機能一式</t>
  </si>
  <si>
    <t>I-2</t>
  </si>
  <si>
    <t>最終テスト・動作確認</t>
  </si>
  <si>
    <t>追加機能を含めた全体の回帰テスト・動作確認</t>
  </si>
  <si>
    <t>動作確認記録</t>
  </si>
  <si>
    <t>H</t>
    <phoneticPr fontId="1"/>
  </si>
  <si>
    <t>I</t>
    <phoneticPr fontId="1"/>
  </si>
  <si>
    <t>J</t>
    <phoneticPr fontId="1"/>
  </si>
  <si>
    <t>機能追加</t>
    <rPh sb="0" eb="4">
      <t>キノウツイカ</t>
    </rPh>
    <phoneticPr fontId="1"/>
  </si>
  <si>
    <t>動作確認</t>
    <rPh sb="0" eb="4">
      <t>ドウサカクニン</t>
    </rPh>
    <phoneticPr fontId="1"/>
  </si>
  <si>
    <t>K</t>
    <phoneticPr fontId="1"/>
  </si>
  <si>
    <t>ログイン、会員登録</t>
    <rPh sb="5" eb="9">
      <t>カイイントウロク</t>
    </rPh>
    <phoneticPr fontId="1"/>
  </si>
  <si>
    <t>最終テスト</t>
    <rPh sb="0" eb="2">
      <t>サイシュウ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</si>
</sst>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showGridLines="0" tabSelected="1" workbookViewId="0">
      <pane xSplit="2" ySplit="2" topLeftCell="C8" activePane="bottomRight" state="frozen"/>
      <selection pane="topRight"/>
      <selection pane="bottomLeft"/>
      <selection pane="bottomRight" activeCell="H11" sqref="H11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58</v>
      </c>
      <c r="I6" s="6">
        <v>46276</v>
      </c>
      <c r="J6" s="6">
        <v>46279</v>
      </c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58</v>
      </c>
      <c r="I7" s="6">
        <v>46276</v>
      </c>
      <c r="J7" s="6">
        <v>46279</v>
      </c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58</v>
      </c>
      <c r="I8" s="6">
        <v>46280</v>
      </c>
      <c r="J8" s="6">
        <v>46280</v>
      </c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58</v>
      </c>
      <c r="I9" s="6">
        <v>46279</v>
      </c>
      <c r="J9" s="6">
        <v>46280</v>
      </c>
      <c r="K9" s="4"/>
    </row>
    <row r="10" spans="1:11" ht="36" customHeight="1" x14ac:dyDescent="0.55000000000000004">
      <c r="A10" s="4" t="s">
        <v>210</v>
      </c>
      <c r="B10" s="4" t="s">
        <v>213</v>
      </c>
      <c r="C10" s="4" t="s">
        <v>216</v>
      </c>
      <c r="D10" s="4"/>
      <c r="E10" s="4"/>
      <c r="F10" s="4"/>
      <c r="G10" s="4"/>
      <c r="H10" s="5" t="s">
        <v>58</v>
      </c>
      <c r="I10" s="6">
        <v>46280</v>
      </c>
      <c r="J10" s="6">
        <v>46281</v>
      </c>
      <c r="K10" s="4"/>
    </row>
    <row r="11" spans="1:11" ht="36" customHeight="1" x14ac:dyDescent="0.55000000000000004">
      <c r="A11" s="4" t="s">
        <v>211</v>
      </c>
      <c r="B11" s="4" t="s">
        <v>214</v>
      </c>
      <c r="C11" s="4"/>
      <c r="D11" s="4"/>
      <c r="E11" s="4"/>
      <c r="F11" s="4"/>
      <c r="G11" s="4"/>
      <c r="H11" s="5" t="s">
        <v>58</v>
      </c>
      <c r="I11" s="6">
        <v>46280</v>
      </c>
      <c r="J11" s="6"/>
      <c r="K11" s="4"/>
    </row>
    <row r="12" spans="1:11" ht="36" customHeight="1" x14ac:dyDescent="0.55000000000000004">
      <c r="A12" s="4" t="s">
        <v>212</v>
      </c>
      <c r="B12" s="4" t="s">
        <v>217</v>
      </c>
      <c r="C12" s="4"/>
      <c r="D12" s="4"/>
      <c r="E12" s="4"/>
      <c r="F12" s="4"/>
      <c r="G12" s="4"/>
      <c r="H12" s="5"/>
      <c r="I12" s="6"/>
      <c r="J12" s="6"/>
      <c r="K12" s="4"/>
    </row>
    <row r="13" spans="1:11" ht="36" customHeight="1" x14ac:dyDescent="0.55000000000000004">
      <c r="A13" s="4" t="s">
        <v>215</v>
      </c>
      <c r="B13" s="4" t="s">
        <v>44</v>
      </c>
      <c r="C13" s="4" t="s">
        <v>45</v>
      </c>
      <c r="D13" s="4" t="s">
        <v>46</v>
      </c>
      <c r="E13" s="4" t="s">
        <v>39</v>
      </c>
      <c r="F13" s="4">
        <v>3</v>
      </c>
      <c r="G13" s="4">
        <v>0.5</v>
      </c>
      <c r="H13" s="5" t="s">
        <v>21</v>
      </c>
      <c r="I13" s="6"/>
      <c r="J13" s="6"/>
      <c r="K13" s="4"/>
    </row>
    <row r="14" spans="1:11" x14ac:dyDescent="0.55000000000000004">
      <c r="B14" s="7" t="s">
        <v>47</v>
      </c>
      <c r="F14" s="7">
        <f>SUM(F3:F13)</f>
        <v>78</v>
      </c>
      <c r="G14" s="7">
        <f>SUM(G3:G13)</f>
        <v>7</v>
      </c>
    </row>
  </sheetData>
  <phoneticPr fontId="1"/>
  <conditionalFormatting sqref="A3:K13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3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3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"/>
  <sheetViews>
    <sheetView showGridLines="0" workbookViewId="0">
      <pane xSplit="2" ySplit="2" topLeftCell="D41" activePane="bottomRight" state="frozen"/>
      <selection pane="topRight"/>
      <selection pane="bottomLeft"/>
      <selection pane="bottomRight" activeCell="I45" sqref="I45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58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58</v>
      </c>
      <c r="I34" s="6">
        <v>46279</v>
      </c>
      <c r="J34" s="6">
        <v>46279</v>
      </c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58</v>
      </c>
      <c r="I36" s="6">
        <v>46280</v>
      </c>
      <c r="J36" s="6">
        <v>46280</v>
      </c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58</v>
      </c>
      <c r="I37" s="6">
        <v>46280</v>
      </c>
      <c r="J37" s="6">
        <v>46280</v>
      </c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58</v>
      </c>
      <c r="I39" s="6">
        <v>46280</v>
      </c>
      <c r="J39" s="6">
        <v>46280</v>
      </c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58</v>
      </c>
      <c r="I40" s="6">
        <v>46280</v>
      </c>
      <c r="J40" s="6">
        <v>46280</v>
      </c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58</v>
      </c>
      <c r="I41" s="6">
        <v>46280</v>
      </c>
      <c r="J41" s="6">
        <v>46280</v>
      </c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58</v>
      </c>
      <c r="I42" s="6">
        <v>46280</v>
      </c>
      <c r="J42" s="6">
        <v>46280</v>
      </c>
      <c r="K42" s="4"/>
    </row>
    <row r="43" spans="1:11" x14ac:dyDescent="0.55000000000000004">
      <c r="A43" s="8" t="s">
        <v>200</v>
      </c>
      <c r="B43" s="8" t="s">
        <v>201</v>
      </c>
      <c r="C43" s="8"/>
      <c r="D43" s="8"/>
      <c r="E43" s="8"/>
      <c r="F43" s="8"/>
      <c r="G43" s="8">
        <v>16</v>
      </c>
      <c r="H43" s="8"/>
      <c r="I43" s="8"/>
      <c r="J43" s="8"/>
      <c r="K43" s="8"/>
    </row>
    <row r="44" spans="1:11" ht="36" x14ac:dyDescent="0.55000000000000004">
      <c r="A44" s="4" t="s">
        <v>202</v>
      </c>
      <c r="B44" s="4" t="s">
        <v>201</v>
      </c>
      <c r="C44" s="4" t="s">
        <v>203</v>
      </c>
      <c r="D44" s="4" t="s">
        <v>204</v>
      </c>
      <c r="E44" s="4" t="s">
        <v>205</v>
      </c>
      <c r="F44" s="4" t="s">
        <v>179</v>
      </c>
      <c r="G44" s="4">
        <v>8</v>
      </c>
      <c r="H44" s="5" t="s">
        <v>16</v>
      </c>
      <c r="I44" s="6">
        <v>46280</v>
      </c>
      <c r="J44" s="6"/>
      <c r="K44" s="4"/>
    </row>
    <row r="45" spans="1:11" x14ac:dyDescent="0.55000000000000004">
      <c r="A45" s="4" t="s">
        <v>206</v>
      </c>
      <c r="B45" s="4" t="s">
        <v>201</v>
      </c>
      <c r="C45" s="4" t="s">
        <v>207</v>
      </c>
      <c r="D45" s="4" t="s">
        <v>208</v>
      </c>
      <c r="E45" s="4" t="s">
        <v>209</v>
      </c>
      <c r="F45" s="4" t="s">
        <v>202</v>
      </c>
      <c r="G45" s="4">
        <v>8</v>
      </c>
      <c r="H45" s="5" t="s">
        <v>16</v>
      </c>
      <c r="I45" s="6"/>
      <c r="J45" s="6"/>
      <c r="K45" s="4"/>
    </row>
    <row r="46" spans="1:11" x14ac:dyDescent="0.55000000000000004">
      <c r="A46" s="8" t="s">
        <v>43</v>
      </c>
      <c r="B46" s="8" t="s">
        <v>44</v>
      </c>
      <c r="C46" s="8"/>
      <c r="D46" s="8"/>
      <c r="E46" s="8"/>
      <c r="F46" s="8"/>
      <c r="G46" s="8">
        <v>3</v>
      </c>
      <c r="H46" s="8"/>
      <c r="I46" s="8"/>
      <c r="J46" s="8"/>
      <c r="K46" s="8"/>
    </row>
    <row r="47" spans="1:11" x14ac:dyDescent="0.55000000000000004">
      <c r="A47" s="4" t="s">
        <v>184</v>
      </c>
      <c r="B47" s="4" t="s">
        <v>44</v>
      </c>
      <c r="C47" s="4" t="s">
        <v>185</v>
      </c>
      <c r="D47" s="4" t="s">
        <v>186</v>
      </c>
      <c r="E47" s="4" t="s">
        <v>187</v>
      </c>
      <c r="F47" s="4" t="s">
        <v>39</v>
      </c>
      <c r="G47" s="4">
        <v>1</v>
      </c>
      <c r="H47" s="5" t="s">
        <v>21</v>
      </c>
      <c r="I47" s="6"/>
      <c r="J47" s="6"/>
      <c r="K47" s="4"/>
    </row>
    <row r="48" spans="1:11" x14ac:dyDescent="0.55000000000000004">
      <c r="A48" s="4" t="s">
        <v>188</v>
      </c>
      <c r="B48" s="4" t="s">
        <v>44</v>
      </c>
      <c r="C48" s="4" t="s">
        <v>189</v>
      </c>
      <c r="D48" s="4" t="s">
        <v>190</v>
      </c>
      <c r="E48" s="4" t="s">
        <v>191</v>
      </c>
      <c r="F48" s="4" t="s">
        <v>184</v>
      </c>
      <c r="G48" s="4">
        <v>1</v>
      </c>
      <c r="H48" s="5" t="s">
        <v>21</v>
      </c>
      <c r="I48" s="6"/>
      <c r="J48" s="6"/>
      <c r="K48" s="4"/>
    </row>
    <row r="49" spans="1:11" x14ac:dyDescent="0.55000000000000004">
      <c r="A49" s="4" t="s">
        <v>192</v>
      </c>
      <c r="B49" s="4" t="s">
        <v>44</v>
      </c>
      <c r="C49" s="4" t="s">
        <v>193</v>
      </c>
      <c r="D49" s="4" t="s">
        <v>194</v>
      </c>
      <c r="E49" s="4" t="s">
        <v>195</v>
      </c>
      <c r="F49" s="4" t="s">
        <v>188</v>
      </c>
      <c r="G49" s="4">
        <v>1</v>
      </c>
      <c r="H49" s="5" t="s">
        <v>21</v>
      </c>
      <c r="I49" s="6"/>
      <c r="J49" s="6"/>
      <c r="K49" s="4"/>
    </row>
    <row r="50" spans="1:11" x14ac:dyDescent="0.55000000000000004">
      <c r="C50" s="7" t="s">
        <v>196</v>
      </c>
      <c r="G50" s="7">
        <f>SUMPRODUCT((ISNUMBER(SEARCH("-",A3:A49)))*G3:G49)</f>
        <v>94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2026-09-16T02:15:14Z</dcterms:modified>
</cp:coreProperties>
</file>