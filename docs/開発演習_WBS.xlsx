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docs\"/>
    </mc:Choice>
  </mc:AlternateContent>
  <xr:revisionPtr revIDLastSave="0" documentId="13_ncr:1_{F416D89F-7E8B-465D-99F8-91C9063A277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WBS" sheetId="1" r:id="rId1"/>
    <sheet name="フェーズ別W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2" l="1"/>
  <c r="F11" i="1"/>
  <c r="G11" i="1"/>
</calcChain>
</file>

<file path=xl/sharedStrings.xml><?xml version="1.0" encoding="utf-8"?>
<sst xmlns="http://schemas.openxmlformats.org/spreadsheetml/2006/main" count="342" uniqueCount="200">
  <si>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</si>
  <si>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</si>
  <si>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</si>
  <si>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</si>
  <si>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</si>
  <si>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</si>
  <si>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</si>
  <si>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</si>
  <si>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</si>
  <si>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</si>
  <si>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</si>
  <si>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</si>
  <si>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</si>
  <si>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</si>
  <si>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</si>
  <si>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</si>
  <si>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着手中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</si>
  <si>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</si>
  <si>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</si>
  <si>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</si>
  <si>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</si>
  <si>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未着手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</si>
  <si>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</si>
  <si>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</si>
  <si>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</si>
  <si>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</si>
  <si>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</si>
  <si>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</si>
  <si>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</si>
  <si>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</si>
  <si>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</si>
  <si>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</si>
  <si>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</si>
  <si>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</si>
  <si>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</si>
  <si>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</si>
  <si>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</si>
  <si>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</si>
  <si>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</si>
  <si>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</si>
  <si>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</si>
  <si>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</si>
  <si>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</si>
  <si>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</si>
  <si>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</si>
  <si>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</si>
  <si>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</si>
  <si>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</si>
  <si>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</si>
  <si>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</si>
  <si>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</si>
  <si>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</si>
  <si>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</si>
  <si>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</si>
  <si>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</si>
  <si>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</si>
  <si>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</si>
  <si>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</si>
  <si>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完了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</si>
  <si>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</si>
  <si>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</si>
  <si>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</si>
  <si>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</si>
  <si>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</si>
  <si>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</si>
  <si>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</si>
  <si>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</si>
  <si>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</si>
  <si>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</si>
  <si>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</si>
  <si>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</si>
  <si>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</si>
  <si>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</si>
  <si>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</si>
  <si>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</si>
  <si>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</si>
  <si>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</si>
  <si>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</si>
  <si>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</si>
  <si>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</si>
  <si>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</si>
  <si>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</si>
  <si>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</si>
  <si>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</si>
  <si>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</si>
  <si>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</si>
  <si>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</si>
  <si>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</si>
  <si>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</si>
  <si>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</si>
  <si>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</si>
  <si>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</si>
  <si>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</si>
  <si>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</si>
  <si>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</si>
  <si>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</si>
  <si>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</si>
  <si>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</si>
  <si>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</si>
  <si>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</si>
  <si>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</si>
  <si>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</si>
  <si>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</si>
  <si>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</si>
  <si>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</si>
  <si>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</si>
  <si>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</si>
  <si>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</si>
  <si>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</si>
  <si>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</si>
  <si>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</si>
  <si>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</si>
  <si>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</si>
  <si>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</si>
  <si>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</si>
  <si>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</si>
  <si>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</si>
  <si>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</si>
  <si>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</si>
  <si>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</si>
  <si>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</si>
  <si>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</si>
  <si>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</si>
  <si>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</si>
  <si>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</si>
  <si>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</si>
  <si>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</si>
  <si>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</si>
  <si>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</si>
  <si>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</si>
  <si>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</si>
  <si>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</si>
  <si>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</si>
  <si>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</si>
  <si>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</si>
  <si>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</si>
  <si>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</si>
  <si>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</si>
  <si>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</si>
  <si>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</si>
  <si>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</si>
  <si>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</si>
  <si>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</si>
  <si>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</si>
  <si>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</si>
  <si>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</si>
  <si>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</si>
  <si>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</si>
  <si>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</si>
  <si>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</si>
  <si>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</si>
  <si>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</si>
  <si>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</si>
  <si>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</si>
  <si>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</si>
  <si>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</si>
  <si>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</si>
  <si>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</si>
  <si>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</si>
  <si>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</si>
  <si>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</si>
  <si>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</si>
  <si>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</si>
  <si>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</si>
  <si>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</si>
  <si>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</si>
  <si>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</si>
  <si>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</si>
  <si>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</si>
  <si>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</si>
  <si>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</si>
  <si>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</si>
  <si>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</si>
  <si>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</si>
  <si>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</si>
  <si>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</si>
  <si>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</si>
  <si>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</si>
  <si>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</si>
  <si>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</si>
  <si>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</si>
  <si>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</si>
  <si>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</si>
  <si>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</si>
  <si>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</si>
  <si>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</si>
  <si>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</si>
  <si>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</si>
  <si>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</si>
  <si>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</si>
  <si>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</si>
  <si>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</si>
  <si>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</si>
  <si>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</si>
  <si>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</si>
  <si>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</si>
  <si>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</si>
  <si>
    <t>目安日数</t>
    <rPh sb="0" eb="4">
      <t>メヤスニッスウ</t>
    </rPh>
    <phoneticPr fontId="1"/>
  </si>
  <si>
    <t>ER図・テーブル定義書</t>
    <rPh sb="8" eb="11">
      <t>テイギショ</t>
    </rPh>
    <phoneticPr fontId="1"/>
  </si>
  <si>
    <t>イベント登録・編集・削除API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</si>
</sst>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showGridLines="0" workbookViewId="0">
      <pane xSplit="2" ySplit="2" topLeftCell="C4" activePane="bottomRight" state="frozen"/>
      <selection pane="topRight"/>
      <selection pane="bottomLeft"/>
      <selection pane="bottomRight" activeCell="H6" sqref="H6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0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197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ht="36" customHeight="1" x14ac:dyDescent="0.55000000000000004">
      <c r="A3" s="4" t="s">
        <v>11</v>
      </c>
      <c r="B3" s="4" t="s">
        <v>12</v>
      </c>
      <c r="C3" s="4" t="s">
        <v>13</v>
      </c>
      <c r="D3" s="4" t="s">
        <v>14</v>
      </c>
      <c r="E3" s="4" t="s">
        <v>15</v>
      </c>
      <c r="F3" s="4">
        <v>9</v>
      </c>
      <c r="G3" s="4">
        <v>1</v>
      </c>
      <c r="H3" s="5" t="s">
        <v>58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17</v>
      </c>
      <c r="B4" s="4" t="s">
        <v>18</v>
      </c>
      <c r="C4" s="4" t="s">
        <v>19</v>
      </c>
      <c r="D4" s="4" t="s">
        <v>20</v>
      </c>
      <c r="E4" s="4" t="s">
        <v>11</v>
      </c>
      <c r="F4" s="4">
        <v>6</v>
      </c>
      <c r="G4" s="4">
        <v>0.5</v>
      </c>
      <c r="H4" s="5" t="s">
        <v>58</v>
      </c>
      <c r="I4" s="6">
        <v>46276</v>
      </c>
      <c r="J4" s="6">
        <v>46276</v>
      </c>
      <c r="K4" s="4"/>
    </row>
    <row r="5" spans="1:11" ht="54" customHeight="1" x14ac:dyDescent="0.55000000000000004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>
        <v>3</v>
      </c>
      <c r="G5" s="4">
        <v>0.5</v>
      </c>
      <c r="H5" s="5" t="s">
        <v>58</v>
      </c>
      <c r="I5" s="6">
        <v>46276</v>
      </c>
      <c r="J5" s="6">
        <v>46276</v>
      </c>
      <c r="K5" s="4"/>
    </row>
    <row r="6" spans="1:11" ht="36" customHeight="1" x14ac:dyDescent="0.55000000000000004">
      <c r="A6" s="4" t="s">
        <v>27</v>
      </c>
      <c r="B6" s="4" t="s">
        <v>28</v>
      </c>
      <c r="C6" s="4" t="s">
        <v>29</v>
      </c>
      <c r="D6" s="4" t="s">
        <v>30</v>
      </c>
      <c r="E6" s="4" t="s">
        <v>22</v>
      </c>
      <c r="F6" s="4">
        <v>23</v>
      </c>
      <c r="G6" s="4">
        <v>1.5</v>
      </c>
      <c r="H6" s="5" t="s">
        <v>16</v>
      </c>
      <c r="I6" s="6">
        <v>46276</v>
      </c>
      <c r="J6" s="6"/>
      <c r="K6" s="4"/>
    </row>
    <row r="7" spans="1:11" ht="36" customHeight="1" x14ac:dyDescent="0.55000000000000004">
      <c r="A7" s="4" t="s">
        <v>31</v>
      </c>
      <c r="B7" s="4" t="s">
        <v>32</v>
      </c>
      <c r="C7" s="4" t="s">
        <v>33</v>
      </c>
      <c r="D7" s="4" t="s">
        <v>34</v>
      </c>
      <c r="E7" s="4" t="s">
        <v>27</v>
      </c>
      <c r="F7" s="4">
        <v>23</v>
      </c>
      <c r="G7" s="4">
        <v>1.5</v>
      </c>
      <c r="H7" s="5" t="s">
        <v>16</v>
      </c>
      <c r="I7" s="6">
        <v>46276</v>
      </c>
      <c r="J7" s="6"/>
      <c r="K7" s="4"/>
    </row>
    <row r="8" spans="1:11" ht="36" customHeight="1" x14ac:dyDescent="0.55000000000000004">
      <c r="A8" s="4" t="s">
        <v>35</v>
      </c>
      <c r="B8" s="4" t="s">
        <v>36</v>
      </c>
      <c r="C8" s="4" t="s">
        <v>37</v>
      </c>
      <c r="D8" s="4" t="s">
        <v>38</v>
      </c>
      <c r="E8" s="4" t="s">
        <v>31</v>
      </c>
      <c r="F8" s="4">
        <v>3</v>
      </c>
      <c r="G8" s="4">
        <v>0.5</v>
      </c>
      <c r="H8" s="5" t="s">
        <v>21</v>
      </c>
      <c r="I8" s="6"/>
      <c r="J8" s="6"/>
      <c r="K8" s="4"/>
    </row>
    <row r="9" spans="1:11" ht="36" customHeight="1" x14ac:dyDescent="0.55000000000000004">
      <c r="A9" s="4" t="s">
        <v>39</v>
      </c>
      <c r="B9" s="4" t="s">
        <v>40</v>
      </c>
      <c r="C9" s="4" t="s">
        <v>41</v>
      </c>
      <c r="D9" s="4" t="s">
        <v>42</v>
      </c>
      <c r="E9" s="4" t="s">
        <v>35</v>
      </c>
      <c r="F9" s="4">
        <v>8</v>
      </c>
      <c r="G9" s="4">
        <v>1</v>
      </c>
      <c r="H9" s="5" t="s">
        <v>21</v>
      </c>
      <c r="I9" s="6"/>
      <c r="J9" s="6"/>
      <c r="K9" s="4"/>
    </row>
    <row r="10" spans="1:11" ht="36" customHeight="1" x14ac:dyDescent="0.55000000000000004">
      <c r="A10" s="4" t="s">
        <v>43</v>
      </c>
      <c r="B10" s="4" t="s">
        <v>44</v>
      </c>
      <c r="C10" s="4" t="s">
        <v>45</v>
      </c>
      <c r="D10" s="4" t="s">
        <v>46</v>
      </c>
      <c r="E10" s="4" t="s">
        <v>39</v>
      </c>
      <c r="F10" s="4">
        <v>3</v>
      </c>
      <c r="G10" s="4">
        <v>0.5</v>
      </c>
      <c r="H10" s="5" t="s">
        <v>21</v>
      </c>
      <c r="I10" s="6"/>
      <c r="J10" s="6"/>
      <c r="K10" s="4"/>
    </row>
    <row r="11" spans="1:11" x14ac:dyDescent="0.55000000000000004">
      <c r="B11" s="7" t="s">
        <v>47</v>
      </c>
      <c r="F11" s="7">
        <f>SUM(F3:F10)</f>
        <v>78</v>
      </c>
      <c r="G11" s="7">
        <f>SUM(G3:G10)</f>
        <v>7</v>
      </c>
    </row>
  </sheetData>
  <phoneticPr fontId="1"/>
  <conditionalFormatting sqref="A3:K10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0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0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"/>
  <sheetViews>
    <sheetView showGridLines="0" tabSelected="1" workbookViewId="0">
      <pane xSplit="2" ySplit="2" topLeftCell="C27" activePane="bottomRight" state="frozen"/>
      <selection pane="topRight"/>
      <selection pane="bottomLeft"/>
      <selection pane="bottomRight" activeCell="H32" sqref="H32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48</v>
      </c>
    </row>
    <row r="2" spans="1:11" x14ac:dyDescent="0.55000000000000004">
      <c r="A2" s="3" t="s">
        <v>49</v>
      </c>
      <c r="B2" s="3" t="s">
        <v>2</v>
      </c>
      <c r="C2" s="3" t="s">
        <v>50</v>
      </c>
      <c r="D2" s="3" t="s">
        <v>51</v>
      </c>
      <c r="E2" s="3" t="s">
        <v>52</v>
      </c>
      <c r="F2" s="3" t="s">
        <v>53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x14ac:dyDescent="0.55000000000000004">
      <c r="A3" s="8" t="s">
        <v>11</v>
      </c>
      <c r="B3" s="8" t="s">
        <v>12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54</v>
      </c>
      <c r="B4" s="4" t="s">
        <v>12</v>
      </c>
      <c r="C4" s="4" t="s">
        <v>55</v>
      </c>
      <c r="D4" s="4" t="s">
        <v>56</v>
      </c>
      <c r="E4" s="4" t="s">
        <v>57</v>
      </c>
      <c r="F4" s="4" t="s">
        <v>15</v>
      </c>
      <c r="G4" s="4">
        <v>1</v>
      </c>
      <c r="H4" s="5" t="s">
        <v>58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59</v>
      </c>
      <c r="B5" s="4" t="s">
        <v>12</v>
      </c>
      <c r="C5" s="4" t="s">
        <v>60</v>
      </c>
      <c r="D5" s="4" t="s">
        <v>61</v>
      </c>
      <c r="E5" s="4" t="s">
        <v>62</v>
      </c>
      <c r="F5" s="4" t="s">
        <v>54</v>
      </c>
      <c r="G5" s="4">
        <v>2</v>
      </c>
      <c r="H5" s="5" t="s">
        <v>58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63</v>
      </c>
      <c r="B6" s="4" t="s">
        <v>12</v>
      </c>
      <c r="C6" s="4" t="s">
        <v>64</v>
      </c>
      <c r="D6" s="4" t="s">
        <v>65</v>
      </c>
      <c r="E6" s="4" t="s">
        <v>66</v>
      </c>
      <c r="F6" s="4" t="s">
        <v>54</v>
      </c>
      <c r="G6" s="4">
        <v>2.5</v>
      </c>
      <c r="H6" s="5" t="s">
        <v>58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67</v>
      </c>
      <c r="B7" s="4" t="s">
        <v>12</v>
      </c>
      <c r="C7" s="4" t="s">
        <v>68</v>
      </c>
      <c r="D7" s="4" t="s">
        <v>69</v>
      </c>
      <c r="E7" s="4" t="s">
        <v>198</v>
      </c>
      <c r="F7" s="4" t="s">
        <v>54</v>
      </c>
      <c r="G7" s="4">
        <v>2</v>
      </c>
      <c r="H7" s="5" t="s">
        <v>58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70</v>
      </c>
      <c r="B8" s="4" t="s">
        <v>12</v>
      </c>
      <c r="C8" s="4" t="s">
        <v>71</v>
      </c>
      <c r="D8" s="4" t="s">
        <v>72</v>
      </c>
      <c r="E8" s="4" t="s">
        <v>73</v>
      </c>
      <c r="F8" s="4" t="s">
        <v>74</v>
      </c>
      <c r="G8" s="4">
        <v>1.5</v>
      </c>
      <c r="H8" s="5" t="s">
        <v>58</v>
      </c>
      <c r="I8" s="6">
        <v>46276</v>
      </c>
      <c r="J8" s="6">
        <v>46276</v>
      </c>
      <c r="K8" s="4"/>
    </row>
    <row r="9" spans="1:11" x14ac:dyDescent="0.55000000000000004">
      <c r="A9" s="8" t="s">
        <v>17</v>
      </c>
      <c r="B9" s="8" t="s">
        <v>18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75</v>
      </c>
      <c r="B10" s="4" t="s">
        <v>18</v>
      </c>
      <c r="C10" s="4" t="s">
        <v>76</v>
      </c>
      <c r="D10" s="4" t="s">
        <v>77</v>
      </c>
      <c r="E10" s="4" t="s">
        <v>78</v>
      </c>
      <c r="F10" s="4" t="s">
        <v>11</v>
      </c>
      <c r="G10" s="4">
        <v>1</v>
      </c>
      <c r="H10" s="5" t="s">
        <v>58</v>
      </c>
      <c r="I10" s="6">
        <v>46276</v>
      </c>
      <c r="J10" s="6">
        <v>46276</v>
      </c>
      <c r="K10" s="4"/>
    </row>
    <row r="11" spans="1:11" x14ac:dyDescent="0.55000000000000004">
      <c r="A11" s="4" t="s">
        <v>79</v>
      </c>
      <c r="B11" s="4" t="s">
        <v>18</v>
      </c>
      <c r="C11" s="4" t="s">
        <v>80</v>
      </c>
      <c r="D11" s="4" t="s">
        <v>81</v>
      </c>
      <c r="E11" s="4" t="s">
        <v>82</v>
      </c>
      <c r="F11" s="4" t="s">
        <v>75</v>
      </c>
      <c r="G11" s="4">
        <v>1</v>
      </c>
      <c r="H11" s="5" t="s">
        <v>58</v>
      </c>
      <c r="I11" s="6">
        <v>46276</v>
      </c>
      <c r="J11" s="6">
        <v>46276</v>
      </c>
      <c r="K11" s="4"/>
    </row>
    <row r="12" spans="1:11" x14ac:dyDescent="0.55000000000000004">
      <c r="A12" s="4" t="s">
        <v>83</v>
      </c>
      <c r="B12" s="4" t="s">
        <v>18</v>
      </c>
      <c r="C12" s="4" t="s">
        <v>84</v>
      </c>
      <c r="D12" s="4" t="s">
        <v>85</v>
      </c>
      <c r="E12" s="4" t="s">
        <v>86</v>
      </c>
      <c r="F12" s="4" t="s">
        <v>75</v>
      </c>
      <c r="G12" s="4">
        <v>1</v>
      </c>
      <c r="H12" s="5" t="s">
        <v>58</v>
      </c>
      <c r="I12" s="6">
        <v>46276</v>
      </c>
      <c r="J12" s="6">
        <v>46276</v>
      </c>
      <c r="K12" s="4"/>
    </row>
    <row r="13" spans="1:11" x14ac:dyDescent="0.55000000000000004">
      <c r="A13" s="4" t="s">
        <v>87</v>
      </c>
      <c r="B13" s="4" t="s">
        <v>18</v>
      </c>
      <c r="C13" s="4" t="s">
        <v>88</v>
      </c>
      <c r="D13" s="4" t="s">
        <v>89</v>
      </c>
      <c r="E13" s="4" t="s">
        <v>90</v>
      </c>
      <c r="F13" s="4" t="s">
        <v>83</v>
      </c>
      <c r="G13" s="4">
        <v>0.5</v>
      </c>
      <c r="H13" s="5" t="s">
        <v>58</v>
      </c>
      <c r="I13" s="6">
        <v>46276</v>
      </c>
      <c r="J13" s="6">
        <v>46276</v>
      </c>
      <c r="K13" s="4"/>
    </row>
    <row r="14" spans="1:11" ht="36" customHeight="1" x14ac:dyDescent="0.55000000000000004">
      <c r="A14" s="4" t="s">
        <v>91</v>
      </c>
      <c r="B14" s="4" t="s">
        <v>18</v>
      </c>
      <c r="C14" s="4" t="s">
        <v>92</v>
      </c>
      <c r="D14" s="4" t="s">
        <v>93</v>
      </c>
      <c r="E14" s="4" t="s">
        <v>94</v>
      </c>
      <c r="F14" s="4" t="s">
        <v>95</v>
      </c>
      <c r="G14" s="4">
        <v>2.5</v>
      </c>
      <c r="H14" s="5" t="s">
        <v>58</v>
      </c>
      <c r="I14" s="6">
        <v>46276</v>
      </c>
      <c r="J14" s="6">
        <v>46276</v>
      </c>
      <c r="K14" s="4"/>
    </row>
    <row r="15" spans="1:11" x14ac:dyDescent="0.55000000000000004">
      <c r="A15" s="8" t="s">
        <v>22</v>
      </c>
      <c r="B15" s="8" t="s">
        <v>23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96</v>
      </c>
      <c r="B16" s="4" t="s">
        <v>23</v>
      </c>
      <c r="C16" s="4" t="s">
        <v>97</v>
      </c>
      <c r="D16" s="4" t="s">
        <v>98</v>
      </c>
      <c r="E16" s="4" t="s">
        <v>99</v>
      </c>
      <c r="F16" s="4" t="s">
        <v>100</v>
      </c>
      <c r="G16" s="4">
        <v>1.5</v>
      </c>
      <c r="H16" s="5" t="s">
        <v>58</v>
      </c>
      <c r="I16" s="6">
        <v>46276</v>
      </c>
      <c r="J16" s="6">
        <v>46276</v>
      </c>
      <c r="K16" s="4"/>
    </row>
    <row r="17" spans="1:11" x14ac:dyDescent="0.55000000000000004">
      <c r="A17" s="4" t="s">
        <v>101</v>
      </c>
      <c r="B17" s="4" t="s">
        <v>23</v>
      </c>
      <c r="C17" s="4" t="s">
        <v>102</v>
      </c>
      <c r="D17" s="4" t="s">
        <v>103</v>
      </c>
      <c r="E17" s="4" t="s">
        <v>104</v>
      </c>
      <c r="F17" s="4" t="s">
        <v>96</v>
      </c>
      <c r="G17" s="4">
        <v>1.5</v>
      </c>
      <c r="H17" s="5" t="s">
        <v>58</v>
      </c>
      <c r="I17" s="6">
        <v>46276</v>
      </c>
      <c r="J17" s="6">
        <v>46276</v>
      </c>
      <c r="K17" s="4"/>
    </row>
    <row r="18" spans="1:11" ht="36" customHeight="1" x14ac:dyDescent="0.55000000000000004">
      <c r="A18" s="8" t="s">
        <v>27</v>
      </c>
      <c r="B18" s="8" t="s">
        <v>28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105</v>
      </c>
      <c r="B19" s="4" t="s">
        <v>28</v>
      </c>
      <c r="C19" s="4" t="s">
        <v>106</v>
      </c>
      <c r="D19" s="4" t="s">
        <v>107</v>
      </c>
      <c r="E19" s="4" t="s">
        <v>108</v>
      </c>
      <c r="F19" s="4" t="s">
        <v>22</v>
      </c>
      <c r="G19" s="4">
        <v>3</v>
      </c>
      <c r="H19" s="5" t="s">
        <v>58</v>
      </c>
      <c r="I19" s="6">
        <v>46276</v>
      </c>
      <c r="J19" s="6">
        <v>46279</v>
      </c>
      <c r="K19" s="4"/>
    </row>
    <row r="20" spans="1:11" ht="36" customHeight="1" x14ac:dyDescent="0.55000000000000004">
      <c r="A20" s="4" t="s">
        <v>109</v>
      </c>
      <c r="B20" s="4" t="s">
        <v>28</v>
      </c>
      <c r="C20" s="4" t="s">
        <v>199</v>
      </c>
      <c r="D20" s="4" t="s">
        <v>110</v>
      </c>
      <c r="E20" s="4" t="s">
        <v>108</v>
      </c>
      <c r="F20" s="4" t="s">
        <v>22</v>
      </c>
      <c r="G20" s="4">
        <v>5</v>
      </c>
      <c r="H20" s="5" t="s">
        <v>58</v>
      </c>
      <c r="I20" s="6">
        <v>46279</v>
      </c>
      <c r="J20" s="6">
        <v>46279</v>
      </c>
      <c r="K20" s="4"/>
    </row>
    <row r="21" spans="1:11" ht="36" customHeight="1" x14ac:dyDescent="0.55000000000000004">
      <c r="A21" s="4" t="s">
        <v>111</v>
      </c>
      <c r="B21" s="4" t="s">
        <v>28</v>
      </c>
      <c r="C21" s="4" t="s">
        <v>112</v>
      </c>
      <c r="D21" s="4" t="s">
        <v>113</v>
      </c>
      <c r="E21" s="4" t="s">
        <v>108</v>
      </c>
      <c r="F21" s="4" t="s">
        <v>22</v>
      </c>
      <c r="G21" s="4">
        <v>3</v>
      </c>
      <c r="H21" s="5" t="s">
        <v>58</v>
      </c>
      <c r="I21" s="6">
        <v>46279</v>
      </c>
      <c r="J21" s="6">
        <v>46279</v>
      </c>
      <c r="K21" s="4"/>
    </row>
    <row r="22" spans="1:11" ht="36" customHeight="1" x14ac:dyDescent="0.55000000000000004">
      <c r="A22" s="4" t="s">
        <v>114</v>
      </c>
      <c r="B22" s="4" t="s">
        <v>28</v>
      </c>
      <c r="C22" s="4" t="s">
        <v>115</v>
      </c>
      <c r="D22" s="4" t="s">
        <v>116</v>
      </c>
      <c r="E22" s="4" t="s">
        <v>108</v>
      </c>
      <c r="F22" s="4" t="s">
        <v>22</v>
      </c>
      <c r="G22" s="4">
        <v>2</v>
      </c>
      <c r="H22" s="5" t="s">
        <v>58</v>
      </c>
      <c r="I22" s="6">
        <v>46279</v>
      </c>
      <c r="J22" s="6">
        <v>46279</v>
      </c>
      <c r="K22" s="4"/>
    </row>
    <row r="23" spans="1:11" ht="36" customHeight="1" x14ac:dyDescent="0.55000000000000004">
      <c r="A23" s="4" t="s">
        <v>117</v>
      </c>
      <c r="B23" s="4" t="s">
        <v>28</v>
      </c>
      <c r="C23" s="4" t="s">
        <v>118</v>
      </c>
      <c r="D23" s="4" t="s">
        <v>119</v>
      </c>
      <c r="E23" s="4" t="s">
        <v>108</v>
      </c>
      <c r="F23" s="4" t="s">
        <v>22</v>
      </c>
      <c r="G23" s="4">
        <v>2</v>
      </c>
      <c r="H23" s="5" t="s">
        <v>58</v>
      </c>
      <c r="I23" s="6">
        <v>46279</v>
      </c>
      <c r="J23" s="6">
        <v>46279</v>
      </c>
      <c r="K23" s="4"/>
    </row>
    <row r="24" spans="1:11" ht="36" customHeight="1" x14ac:dyDescent="0.55000000000000004">
      <c r="A24" s="4" t="s">
        <v>120</v>
      </c>
      <c r="B24" s="4" t="s">
        <v>28</v>
      </c>
      <c r="C24" s="4" t="s">
        <v>121</v>
      </c>
      <c r="D24" s="4" t="s">
        <v>122</v>
      </c>
      <c r="E24" s="4" t="s">
        <v>108</v>
      </c>
      <c r="F24" s="4" t="s">
        <v>111</v>
      </c>
      <c r="G24" s="4">
        <v>3</v>
      </c>
      <c r="H24" s="5" t="s">
        <v>58</v>
      </c>
      <c r="I24" s="6">
        <v>46279</v>
      </c>
      <c r="J24" s="6">
        <v>46279</v>
      </c>
      <c r="K24" s="4"/>
    </row>
    <row r="25" spans="1:11" ht="36" customHeight="1" x14ac:dyDescent="0.55000000000000004">
      <c r="A25" s="4" t="s">
        <v>123</v>
      </c>
      <c r="B25" s="4" t="s">
        <v>28</v>
      </c>
      <c r="C25" s="4" t="s">
        <v>124</v>
      </c>
      <c r="D25" s="4" t="s">
        <v>125</v>
      </c>
      <c r="E25" s="4" t="s">
        <v>126</v>
      </c>
      <c r="F25" s="4" t="s">
        <v>111</v>
      </c>
      <c r="G25" s="4">
        <v>4</v>
      </c>
      <c r="H25" s="5" t="s">
        <v>58</v>
      </c>
      <c r="I25" s="6">
        <v>46279</v>
      </c>
      <c r="J25" s="6">
        <v>46279</v>
      </c>
      <c r="K25" s="4"/>
    </row>
    <row r="26" spans="1:11" ht="36" customHeight="1" x14ac:dyDescent="0.55000000000000004">
      <c r="A26" s="4" t="s">
        <v>127</v>
      </c>
      <c r="B26" s="4" t="s">
        <v>28</v>
      </c>
      <c r="C26" s="4" t="s">
        <v>128</v>
      </c>
      <c r="D26" s="4" t="s">
        <v>129</v>
      </c>
      <c r="E26" s="4" t="s">
        <v>130</v>
      </c>
      <c r="F26" s="4" t="s">
        <v>131</v>
      </c>
      <c r="G26" s="4">
        <v>1</v>
      </c>
      <c r="H26" s="5" t="s">
        <v>58</v>
      </c>
      <c r="I26" s="6">
        <v>46279</v>
      </c>
      <c r="J26" s="6">
        <v>46279</v>
      </c>
      <c r="K26" s="4"/>
    </row>
    <row r="27" spans="1:11" ht="36" customHeight="1" x14ac:dyDescent="0.55000000000000004">
      <c r="A27" s="8" t="s">
        <v>31</v>
      </c>
      <c r="B27" s="8" t="s">
        <v>32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132</v>
      </c>
      <c r="B28" s="4" t="s">
        <v>32</v>
      </c>
      <c r="C28" s="4" t="s">
        <v>133</v>
      </c>
      <c r="D28" s="4" t="s">
        <v>134</v>
      </c>
      <c r="E28" s="4" t="s">
        <v>135</v>
      </c>
      <c r="F28" s="4" t="s">
        <v>136</v>
      </c>
      <c r="G28" s="4">
        <v>4</v>
      </c>
      <c r="H28" s="5" t="s">
        <v>58</v>
      </c>
      <c r="I28" s="6">
        <v>46279</v>
      </c>
      <c r="J28" s="6">
        <v>46279</v>
      </c>
      <c r="K28" s="4"/>
    </row>
    <row r="29" spans="1:11" ht="36" customHeight="1" x14ac:dyDescent="0.55000000000000004">
      <c r="A29" s="4" t="s">
        <v>137</v>
      </c>
      <c r="B29" s="4" t="s">
        <v>32</v>
      </c>
      <c r="C29" s="4" t="s">
        <v>138</v>
      </c>
      <c r="D29" s="4" t="s">
        <v>139</v>
      </c>
      <c r="E29" s="4" t="s">
        <v>140</v>
      </c>
      <c r="F29" s="4" t="s">
        <v>132</v>
      </c>
      <c r="G29" s="4">
        <v>2</v>
      </c>
      <c r="H29" s="5" t="s">
        <v>58</v>
      </c>
      <c r="I29" s="6">
        <v>46279</v>
      </c>
      <c r="J29" s="6">
        <v>46279</v>
      </c>
      <c r="K29" s="4"/>
    </row>
    <row r="30" spans="1:11" ht="36" customHeight="1" x14ac:dyDescent="0.55000000000000004">
      <c r="A30" s="4" t="s">
        <v>141</v>
      </c>
      <c r="B30" s="4" t="s">
        <v>32</v>
      </c>
      <c r="C30" s="4" t="s">
        <v>142</v>
      </c>
      <c r="D30" s="4" t="s">
        <v>143</v>
      </c>
      <c r="E30" s="4" t="s">
        <v>140</v>
      </c>
      <c r="F30" s="4" t="s">
        <v>144</v>
      </c>
      <c r="G30" s="4">
        <v>5.5</v>
      </c>
      <c r="H30" s="5" t="s">
        <v>58</v>
      </c>
      <c r="I30" s="6">
        <v>46276</v>
      </c>
      <c r="J30" s="6">
        <v>46279</v>
      </c>
      <c r="K30" s="4"/>
    </row>
    <row r="31" spans="1:11" ht="36" customHeight="1" x14ac:dyDescent="0.55000000000000004">
      <c r="A31" s="4" t="s">
        <v>145</v>
      </c>
      <c r="B31" s="4" t="s">
        <v>32</v>
      </c>
      <c r="C31" s="4" t="s">
        <v>146</v>
      </c>
      <c r="D31" s="4" t="s">
        <v>147</v>
      </c>
      <c r="E31" s="4" t="s">
        <v>140</v>
      </c>
      <c r="F31" s="4" t="s">
        <v>148</v>
      </c>
      <c r="G31" s="4">
        <v>4</v>
      </c>
      <c r="H31" s="5" t="s">
        <v>58</v>
      </c>
      <c r="I31" s="6">
        <v>46279</v>
      </c>
      <c r="J31" s="6">
        <v>46279</v>
      </c>
      <c r="K31" s="4"/>
    </row>
    <row r="32" spans="1:11" ht="36" customHeight="1" x14ac:dyDescent="0.55000000000000004">
      <c r="A32" s="4" t="s">
        <v>149</v>
      </c>
      <c r="B32" s="4" t="s">
        <v>32</v>
      </c>
      <c r="C32" s="4" t="s">
        <v>150</v>
      </c>
      <c r="D32" s="4" t="s">
        <v>151</v>
      </c>
      <c r="E32" s="4" t="s">
        <v>140</v>
      </c>
      <c r="F32" s="4" t="s">
        <v>152</v>
      </c>
      <c r="G32" s="4">
        <v>4.5</v>
      </c>
      <c r="H32" s="5" t="s">
        <v>58</v>
      </c>
      <c r="I32" s="6">
        <v>46279</v>
      </c>
      <c r="J32" s="6">
        <v>46279</v>
      </c>
      <c r="K32" s="4"/>
    </row>
    <row r="33" spans="1:11" ht="36" customHeight="1" x14ac:dyDescent="0.55000000000000004">
      <c r="A33" s="4" t="s">
        <v>153</v>
      </c>
      <c r="B33" s="4" t="s">
        <v>32</v>
      </c>
      <c r="C33" s="4" t="s">
        <v>154</v>
      </c>
      <c r="D33" s="4" t="s">
        <v>155</v>
      </c>
      <c r="E33" s="4" t="s">
        <v>140</v>
      </c>
      <c r="F33" s="4" t="s">
        <v>156</v>
      </c>
      <c r="G33" s="4">
        <v>2</v>
      </c>
      <c r="H33" s="5" t="s">
        <v>58</v>
      </c>
      <c r="I33" s="6">
        <v>46279</v>
      </c>
      <c r="J33" s="6">
        <v>46279</v>
      </c>
      <c r="K33" s="4"/>
    </row>
    <row r="34" spans="1:11" ht="36" customHeight="1" x14ac:dyDescent="0.55000000000000004">
      <c r="A34" s="4" t="s">
        <v>157</v>
      </c>
      <c r="B34" s="4" t="s">
        <v>32</v>
      </c>
      <c r="C34" s="4" t="s">
        <v>158</v>
      </c>
      <c r="D34" s="4" t="s">
        <v>159</v>
      </c>
      <c r="E34" s="4" t="s">
        <v>160</v>
      </c>
      <c r="F34" s="4" t="s">
        <v>137</v>
      </c>
      <c r="G34" s="4">
        <v>1</v>
      </c>
      <c r="H34" s="5" t="s">
        <v>58</v>
      </c>
      <c r="I34" s="6">
        <v>46279</v>
      </c>
      <c r="J34" s="6">
        <v>46279</v>
      </c>
      <c r="K34" s="4"/>
    </row>
    <row r="35" spans="1:11" x14ac:dyDescent="0.55000000000000004">
      <c r="A35" s="8" t="s">
        <v>35</v>
      </c>
      <c r="B35" s="8" t="s">
        <v>36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161</v>
      </c>
      <c r="B36" s="4" t="s">
        <v>36</v>
      </c>
      <c r="C36" s="4" t="s">
        <v>162</v>
      </c>
      <c r="D36" s="4" t="s">
        <v>163</v>
      </c>
      <c r="E36" s="4" t="s">
        <v>130</v>
      </c>
      <c r="F36" s="4" t="s">
        <v>31</v>
      </c>
      <c r="G36" s="4">
        <v>1</v>
      </c>
      <c r="H36" s="5" t="s">
        <v>58</v>
      </c>
      <c r="I36" s="6">
        <v>46280</v>
      </c>
      <c r="J36" s="6">
        <v>46280</v>
      </c>
      <c r="K36" s="4"/>
    </row>
    <row r="37" spans="1:11" x14ac:dyDescent="0.55000000000000004">
      <c r="A37" s="4" t="s">
        <v>164</v>
      </c>
      <c r="B37" s="4" t="s">
        <v>36</v>
      </c>
      <c r="C37" s="4" t="s">
        <v>165</v>
      </c>
      <c r="D37" s="4" t="s">
        <v>166</v>
      </c>
      <c r="E37" s="4" t="s">
        <v>167</v>
      </c>
      <c r="F37" s="4" t="s">
        <v>161</v>
      </c>
      <c r="G37" s="4">
        <v>2</v>
      </c>
      <c r="H37" s="5" t="s">
        <v>58</v>
      </c>
      <c r="I37" s="6">
        <v>46280</v>
      </c>
      <c r="J37" s="6">
        <v>46280</v>
      </c>
      <c r="K37" s="4"/>
    </row>
    <row r="38" spans="1:11" x14ac:dyDescent="0.55000000000000004">
      <c r="A38" s="8" t="s">
        <v>39</v>
      </c>
      <c r="B38" s="8" t="s">
        <v>40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168</v>
      </c>
      <c r="B39" s="4" t="s">
        <v>40</v>
      </c>
      <c r="C39" s="4" t="s">
        <v>169</v>
      </c>
      <c r="D39" s="4" t="s">
        <v>170</v>
      </c>
      <c r="E39" s="4" t="s">
        <v>171</v>
      </c>
      <c r="F39" s="4" t="s">
        <v>123</v>
      </c>
      <c r="G39" s="4">
        <v>2.5</v>
      </c>
      <c r="H39" s="5" t="s">
        <v>58</v>
      </c>
      <c r="I39" s="6">
        <v>46280</v>
      </c>
      <c r="J39" s="6">
        <v>46280</v>
      </c>
      <c r="K39" s="4"/>
    </row>
    <row r="40" spans="1:11" x14ac:dyDescent="0.55000000000000004">
      <c r="A40" s="4" t="s">
        <v>172</v>
      </c>
      <c r="B40" s="4" t="s">
        <v>40</v>
      </c>
      <c r="C40" s="4" t="s">
        <v>173</v>
      </c>
      <c r="D40" s="4" t="s">
        <v>174</v>
      </c>
      <c r="E40" s="4" t="s">
        <v>171</v>
      </c>
      <c r="F40" s="4" t="s">
        <v>127</v>
      </c>
      <c r="G40" s="4">
        <v>2.5</v>
      </c>
      <c r="H40" s="5" t="s">
        <v>58</v>
      </c>
      <c r="I40" s="6">
        <v>46280</v>
      </c>
      <c r="J40" s="6">
        <v>46280</v>
      </c>
      <c r="K40" s="4"/>
    </row>
    <row r="41" spans="1:11" x14ac:dyDescent="0.55000000000000004">
      <c r="A41" s="4" t="s">
        <v>175</v>
      </c>
      <c r="B41" s="4" t="s">
        <v>40</v>
      </c>
      <c r="C41" s="4" t="s">
        <v>176</v>
      </c>
      <c r="D41" s="4" t="s">
        <v>177</v>
      </c>
      <c r="E41" s="4" t="s">
        <v>178</v>
      </c>
      <c r="F41" s="4" t="s">
        <v>164</v>
      </c>
      <c r="G41" s="4">
        <v>1.5</v>
      </c>
      <c r="H41" s="5" t="s">
        <v>58</v>
      </c>
      <c r="I41" s="6">
        <v>46280</v>
      </c>
      <c r="J41" s="6">
        <v>46280</v>
      </c>
      <c r="K41" s="4"/>
    </row>
    <row r="42" spans="1:11" x14ac:dyDescent="0.55000000000000004">
      <c r="A42" s="4" t="s">
        <v>179</v>
      </c>
      <c r="B42" s="4" t="s">
        <v>40</v>
      </c>
      <c r="C42" s="4" t="s">
        <v>180</v>
      </c>
      <c r="D42" s="4" t="s">
        <v>181</v>
      </c>
      <c r="E42" s="4" t="s">
        <v>182</v>
      </c>
      <c r="F42" s="4" t="s">
        <v>183</v>
      </c>
      <c r="G42" s="4">
        <v>1.5</v>
      </c>
      <c r="H42" s="5" t="s">
        <v>58</v>
      </c>
      <c r="I42" s="6">
        <v>46280</v>
      </c>
      <c r="J42" s="6">
        <v>46280</v>
      </c>
      <c r="K42" s="4"/>
    </row>
    <row r="43" spans="1:11" x14ac:dyDescent="0.55000000000000004">
      <c r="A43" s="8" t="s">
        <v>43</v>
      </c>
      <c r="B43" s="8" t="s">
        <v>44</v>
      </c>
      <c r="C43" s="8"/>
      <c r="D43" s="8"/>
      <c r="E43" s="8"/>
      <c r="F43" s="8"/>
      <c r="G43" s="8">
        <v>3</v>
      </c>
      <c r="H43" s="8"/>
      <c r="I43" s="8"/>
      <c r="J43" s="8"/>
      <c r="K43" s="8"/>
    </row>
    <row r="44" spans="1:11" x14ac:dyDescent="0.55000000000000004">
      <c r="A44" s="4" t="s">
        <v>184</v>
      </c>
      <c r="B44" s="4" t="s">
        <v>44</v>
      </c>
      <c r="C44" s="4" t="s">
        <v>185</v>
      </c>
      <c r="D44" s="4" t="s">
        <v>186</v>
      </c>
      <c r="E44" s="4" t="s">
        <v>187</v>
      </c>
      <c r="F44" s="4" t="s">
        <v>39</v>
      </c>
      <c r="G44" s="4">
        <v>1</v>
      </c>
      <c r="H44" s="5" t="s">
        <v>21</v>
      </c>
      <c r="I44" s="6"/>
      <c r="J44" s="6"/>
      <c r="K44" s="4"/>
    </row>
    <row r="45" spans="1:11" x14ac:dyDescent="0.55000000000000004">
      <c r="A45" s="4" t="s">
        <v>188</v>
      </c>
      <c r="B45" s="4" t="s">
        <v>44</v>
      </c>
      <c r="C45" s="4" t="s">
        <v>189</v>
      </c>
      <c r="D45" s="4" t="s">
        <v>190</v>
      </c>
      <c r="E45" s="4" t="s">
        <v>191</v>
      </c>
      <c r="F45" s="4" t="s">
        <v>184</v>
      </c>
      <c r="G45" s="4">
        <v>1</v>
      </c>
      <c r="H45" s="5" t="s">
        <v>21</v>
      </c>
      <c r="I45" s="6"/>
      <c r="J45" s="6"/>
      <c r="K45" s="4"/>
    </row>
    <row r="46" spans="1:11" x14ac:dyDescent="0.55000000000000004">
      <c r="A46" s="4" t="s">
        <v>192</v>
      </c>
      <c r="B46" s="4" t="s">
        <v>44</v>
      </c>
      <c r="C46" s="4" t="s">
        <v>193</v>
      </c>
      <c r="D46" s="4" t="s">
        <v>194</v>
      </c>
      <c r="E46" s="4" t="s">
        <v>195</v>
      </c>
      <c r="F46" s="4" t="s">
        <v>188</v>
      </c>
      <c r="G46" s="4">
        <v>1</v>
      </c>
      <c r="H46" s="5" t="s">
        <v>21</v>
      </c>
      <c r="I46" s="6"/>
      <c r="J46" s="6"/>
      <c r="K46" s="4"/>
    </row>
    <row r="47" spans="1:11" x14ac:dyDescent="0.55000000000000004">
      <c r="C47" s="7" t="s">
        <v>196</v>
      </c>
      <c r="G47" s="7">
        <f>SUMPRODUCT((ISNUMBER(SEARCH("-",A3:A46)))*G3:G46)</f>
        <v>78</v>
      </c>
    </row>
  </sheetData>
  <phoneticPr fontId="1"/>
  <conditionalFormatting sqref="A3:K46">
    <cfRule type="expression" dxfId="7" priority="5" stopIfTrue="1">
      <formula>$H3="未着手"</formula>
    </cfRule>
    <cfRule type="expression" dxfId="6" priority="6" stopIfTrue="1">
      <formula>$H3="着手中"</formula>
    </cfRule>
    <cfRule type="expression" dxfId="5" priority="7" stopIfTrue="1">
      <formula>$H3="完了"</formula>
    </cfRule>
    <cfRule type="expression" dxfId="4" priority="8" stopIfTrue="1">
      <formula>$H3="修正中"</formula>
    </cfRule>
  </conditionalFormatting>
  <conditionalFormatting sqref="H3:H46">
    <cfRule type="expression" dxfId="3" priority="1" stopIfTrue="1">
      <formula>$H3="未着手"</formula>
    </cfRule>
    <cfRule type="expression" dxfId="2" priority="2" stopIfTrue="1">
      <formula>$H3="着手中"</formula>
    </cfRule>
    <cfRule type="expression" dxfId="1" priority="3" stopIfTrue="1">
      <formula>$H3="完了"</formula>
    </cfRule>
    <cfRule type="expression" dxfId="0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WBS</vt:lpstr>
      <vt:lpstr>フェーズ別WBS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2026-09-14T03:01:05Z</dcterms:modified>
</cp:coreProperties>
</file>