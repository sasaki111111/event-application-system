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8FEBA641-22B3-4D17-843A-BC6E412A602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WBS" sheetId="1" r:id="rId1"/>
    <sheet name="フェーズ別WBS" sheetId="2" r:id="rId2"/>
    <sheet name="模擬プロジェクト_WB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2" l="1"/>
  <c r="G13" i="1"/>
  <c r="F13" i="1"/>
  <c r="G46" i="3"/>
</calcChain>
</file>

<file path=xl/sharedStrings.xml><?xml version="1.0" encoding="utf-8"?>
<sst xmlns="http://schemas.openxmlformats.org/spreadsheetml/2006/main" count="646" uniqueCount="370">
  <si>
    <t>イベント申込システム 追加開発WBS（v2.0設計書ベース・自己管理用）</t>
  </si>
  <si>
    <t>WBS No</t>
  </si>
  <si>
    <t>フェーズ</t>
  </si>
  <si>
    <t>タスク</t>
  </si>
  <si>
    <t>作業内容</t>
  </si>
  <si>
    <t>成果物</t>
  </si>
  <si>
    <t>先行タスク</t>
  </si>
  <si>
    <t>目安工数(h)</t>
  </si>
  <si>
    <t>状態</t>
  </si>
  <si>
    <t>開始日</t>
  </si>
  <si>
    <t>完了日</t>
  </si>
  <si>
    <t>備考・メモ</t>
  </si>
  <si>
    <t>J</t>
  </si>
  <si>
    <t>DB拡張</t>
  </si>
  <si>
    <t>J-1</t>
  </si>
  <si>
    <t>既存テーブルへの列追加</t>
  </si>
  <si>
    <t>events(organizer_name/image_url/category/extra_question)、applications(ticket_type_id/extra_answer/checked_in_at)を追加。schema.sql更新・本番DBへALTER TABLE適用</t>
  </si>
  <si>
    <t>更新済みschema.sql・DB</t>
  </si>
  <si>
    <t>―</t>
  </si>
  <si>
    <t>完了</t>
  </si>
  <si>
    <t>J-2</t>
  </si>
  <si>
    <t>新規テーブル作成</t>
  </si>
  <si>
    <t>favorites／ticket_types／event_commentsを作成。ER図・インデックス・FKをテーブル定義書_v2.0.md通りに反映</t>
  </si>
  <si>
    <t>L</t>
  </si>
  <si>
    <t>バックエンド実装（イベント情報の拡張）</t>
  </si>
  <si>
    <t>L-1</t>
  </si>
  <si>
    <t>イベント登録・編集の項目拡張</t>
  </si>
  <si>
    <t>Event entity・EventUpsertRequest・EventDetailResponse等に主催者名／画像URL／カテゴリ／アンケート文言を追加</t>
  </si>
  <si>
    <t>更新済みAPI-06/07</t>
  </si>
  <si>
    <t>PR#3マージ済み（mainに反映済み）</t>
  </si>
  <si>
    <t>L-2</t>
  </si>
  <si>
    <t>定員区分（TicketType）の実装</t>
  </si>
  <si>
    <t>TicketType entity・repository、Event保存時の区分全置換ロジック、EventDetailResponseへの区分一覧追加</t>
  </si>
  <si>
    <t>更新済みAPI-02/06/07</t>
  </si>
  <si>
    <t>L-3</t>
  </si>
  <si>
    <t>ユニットテスト</t>
  </si>
  <si>
    <t>EventServiceの拡張分（区分保存等）の正常系・異常系テスト</t>
  </si>
  <si>
    <t>テストコード</t>
  </si>
  <si>
    <t>L-1,L-2</t>
  </si>
  <si>
    <t>M</t>
  </si>
  <si>
    <t>バックエンド実装（申込・キャンセルの区分対応）</t>
  </si>
  <si>
    <t>M-1</t>
  </si>
  <si>
    <t>区分単位の定員判定</t>
  </si>
  <si>
    <t>ApplicationServiceの定員超過チェックを区分単位に対応。区分必須・区分存在チェック（E11/E12）</t>
  </si>
  <si>
    <t>更新済みAPI-03</t>
  </si>
  <si>
    <t>着手中</t>
  </si>
  <si>
    <t>PR#4作成・code-review対応済み。mainマージはユーザー承認待ち</t>
  </si>
  <si>
    <t>M-2</t>
  </si>
  <si>
    <t>キャンセル待ちの順位計算・繰り上げ</t>
  </si>
  <si>
    <t>waitlistRankの計算、区分単位でのキャンセル待ち繰り上げ対応</t>
  </si>
  <si>
    <t>更新済みAPI-04/05</t>
  </si>
  <si>
    <t>M-3</t>
  </si>
  <si>
    <t>ApplicationServiceの拡張分（区分判定・順位計算）の正常系・異常系テスト</t>
  </si>
  <si>
    <t>M-1,M-2</t>
  </si>
  <si>
    <t>ユニットテスト成功。PR#4マージ待ち</t>
  </si>
  <si>
    <t>N</t>
  </si>
  <si>
    <t>バックエンド実装（お気に入り）</t>
  </si>
  <si>
    <t>N-1</t>
  </si>
  <si>
    <t>お気に入りAPI実装</t>
  </si>
  <si>
    <t>Favorite entity/repository/service/controller。API-15〜17（登録・解除・一覧、冪等処理）</t>
  </si>
  <si>
    <t>API-15〜17</t>
  </si>
  <si>
    <t>PR#5作成・code-review対応済み。mainマージはユーザー承認待ち</t>
  </si>
  <si>
    <t>N-2</t>
  </si>
  <si>
    <t>FavoriteServiceの正常系・冪等系テスト</t>
  </si>
  <si>
    <t>ユニットテスト成功。PR#5マージ待ち</t>
  </si>
  <si>
    <t>O</t>
  </si>
  <si>
    <t>バックエンド実装（イベントコメント）</t>
  </si>
  <si>
    <t>O-1</t>
  </si>
  <si>
    <t>コメントAPI実装</t>
  </si>
  <si>
    <t>EventComment entity/repository/service/controller。API-20〜22（一覧・投稿・削除、削除権限チェックE10）</t>
  </si>
  <si>
    <t>API-20〜22</t>
  </si>
  <si>
    <t>PR#6作成・code-review対応済み。mainマージはユーザー承認待ち</t>
  </si>
  <si>
    <t>O-2</t>
  </si>
  <si>
    <t>EventCommentServiceの正常系・異常系（削除権限）テスト</t>
  </si>
  <si>
    <t>ユニットテスト成功。PR#6マージ待ち</t>
  </si>
  <si>
    <t>P</t>
  </si>
  <si>
    <t>バックエンド実装（当日受付）</t>
  </si>
  <si>
    <t>P-1</t>
  </si>
  <si>
    <t>受付APIの実装</t>
  </si>
  <si>
    <t>申込者一覧取得・チェックインAPI。API-18〜19（チェックイン可否チェックE8）</t>
  </si>
  <si>
    <t>API-18〜19</t>
  </si>
  <si>
    <t>PR#7作成・code-review対応済み。mainマージはユーザー承認待ち</t>
  </si>
  <si>
    <t>P-2</t>
  </si>
  <si>
    <t>チェックイン可否チェックの正常系・異常系テスト</t>
  </si>
  <si>
    <t>ユニットテスト成功。PR#7マージ待ち</t>
  </si>
  <si>
    <t>Q</t>
  </si>
  <si>
    <t>フロントエンド実装（一般ユーザー向け画面拡張）</t>
  </si>
  <si>
    <t>Q-1</t>
  </si>
  <si>
    <t>カテゴリ絞り込み</t>
  </si>
  <si>
    <t>イベント検索画面にカテゴリ条件を追加（フロント側フィルタ）→ 実装後、既存イベントにカテゴリ登録が1件も無く不要と判断され撤去</t>
  </si>
  <si>
    <t>更新済みevent-search</t>
  </si>
  <si>
    <t>完了（撤去）</t>
  </si>
  <si>
    <t>PR#8で実装後、機能不要と判断し撤去（バックエンドevents.category列・関連DTO/画面も削除、2026-09-24）</t>
  </si>
  <si>
    <t>Q-2</t>
  </si>
  <si>
    <t>開催カレンダー表示</t>
  </si>
  <si>
    <t>イベント一覧にカレンダー表示への切り替えを追加</t>
  </si>
  <si>
    <t>更新済みevent-list</t>
  </si>
  <si>
    <t>PR#8作成・code-review対応済み。PR#4〜7マージ後にmainマージ予定</t>
  </si>
  <si>
    <t>Q-3</t>
  </si>
  <si>
    <t>イベント詳細の拡張</t>
  </si>
  <si>
    <t>主催者・画像の表示、区分選択UI、アンケート回答欄をイベント詳細に追加</t>
  </si>
  <si>
    <t>更新済みevent-detail</t>
  </si>
  <si>
    <t>L-2,M-1</t>
  </si>
  <si>
    <t>Q-4</t>
  </si>
  <si>
    <t>お気に入りボタン</t>
  </si>
  <si>
    <t>イベント一覧・詳細にお気に入りボタンを追加</t>
  </si>
  <si>
    <t>更新済みevent-list/event-detail</t>
  </si>
  <si>
    <t>Q-5</t>
  </si>
  <si>
    <t>コメント欄</t>
  </si>
  <si>
    <t>イベント詳細にコメント投稿・一覧・削除UIを追加</t>
  </si>
  <si>
    <t>Q-6</t>
  </si>
  <si>
    <t>マイページの拡張</t>
  </si>
  <si>
    <t>キャンセル待ち順位の表示、お気に入りタブを追加</t>
  </si>
  <si>
    <t>更新済みmy-applications</t>
  </si>
  <si>
    <t>M-2,N-1</t>
  </si>
  <si>
    <t>R</t>
  </si>
  <si>
    <t>フロントエンド実装（管理者向け画面拡張）</t>
  </si>
  <si>
    <t>R-1</t>
  </si>
  <si>
    <t>イベント登録・編集フォームの拡張</t>
  </si>
  <si>
    <t>主催者名・画像URL・アンケート文言・区分（複数、追加/削除可能）の入力欄を追加</t>
  </si>
  <si>
    <t>更新済みadmin-event-form</t>
  </si>
  <si>
    <t>R-2</t>
  </si>
  <si>
    <t>当日受付画面（新規）</t>
  </si>
  <si>
    <t>SC-06：申込者一覧表示・チェックインボタン。ルーティング追加</t>
  </si>
  <si>
    <t>新規admin-checkin画面</t>
  </si>
  <si>
    <t>S</t>
  </si>
  <si>
    <t>テスト・結合確認</t>
  </si>
  <si>
    <t>S-1</t>
  </si>
  <si>
    <t>結合テスト追加</t>
  </si>
  <si>
    <t>新機能（区分申込・お気に入り・コメント・チェックイン）のAPI/DB結合確認</t>
  </si>
  <si>
    <t>Q,R</t>
  </si>
  <si>
    <t>未着手</t>
  </si>
  <si>
    <t>S-2</t>
  </si>
  <si>
    <t>STシナリオ更新</t>
  </si>
  <si>
    <t>一般・管理者シナリオに新機能（区分選択・お気に入り・コメント・受付）を反映</t>
  </si>
  <si>
    <t>更新済みSTシナリオ</t>
  </si>
  <si>
    <t>S-3</t>
  </si>
  <si>
    <t>バグ修正・再テスト</t>
  </si>
  <si>
    <t>動作確認で見つかった不具合の修正と再テスト</t>
  </si>
  <si>
    <t>バグチケット</t>
  </si>
  <si>
    <t>T</t>
  </si>
  <si>
    <t>発表準備</t>
  </si>
  <si>
    <t>T-1</t>
  </si>
  <si>
    <t>発表資料作成</t>
  </si>
  <si>
    <t>9スライド構成（表紙〜まとめ）で資料作成</t>
  </si>
  <si>
    <t>発表資料</t>
  </si>
  <si>
    <t>T-2</t>
  </si>
  <si>
    <t>デモシナリオ・データ準備</t>
  </si>
  <si>
    <t>一般→管理者の一連の操作シナリオ、エラーを起こせるデータを準備</t>
  </si>
  <si>
    <t>デモシナリオ</t>
  </si>
  <si>
    <t>T-3</t>
  </si>
  <si>
    <t>リハーサル</t>
  </si>
  <si>
    <t>所要時間計測、最低1回実施</t>
  </si>
  <si>
    <t>リハーサル記録</t>
  </si>
  <si>
    <t>T-1,T-2</t>
  </si>
  <si>
    <t>T-4</t>
  </si>
  <si>
    <t>発表・質疑</t>
  </si>
  <si>
    <t>本番の発表・質疑応答</t>
  </si>
  <si>
    <t>-</t>
  </si>
  <si>
    <t>T-5</t>
  </si>
  <si>
    <t>振り返りシート作成</t>
  </si>
  <si>
    <t>技術面・プロジェクト面・AI駆動開発面（教材ID明記）</t>
  </si>
  <si>
    <t>振り返りシート</t>
  </si>
  <si>
    <t>U</t>
  </si>
  <si>
    <t>実装調査・as-built設計書作成</t>
  </si>
  <si>
    <t>U-1</t>
  </si>
  <si>
    <t>既存実装のリバースエンジニアリング調査</t>
  </si>
  <si>
    <t>バックエンド（Controller/Service/Repository/Entity/DTO全ファイル）・フロントエンド（全コンポーネント・ルーティング）・DB定義を実際のソースコードから読解。ビルド・自動テスト実行（backend 61件・frontend 2件）、curl実行によるAPI疎通確認（約25パターン）、稼働中DBとschema.sqlの突合を実施</t>
  </si>
  <si>
    <t>確認ログ（会話記録）</t>
  </si>
  <si>
    <t>既存のdocs/design配下の設計書やコメントは参考情報に留め、コード・実行結果から独立に事実を確認する方針で実施</t>
  </si>
  <si>
    <t>U-2</t>
  </si>
  <si>
    <t>as-built設計書の作成</t>
  </si>
  <si>
    <t>U-1の調査結果を基に、要件定義書・テーブル定義書（ER図）・API設計書・画面設計書・画面遷移図・実装事実一覧（根拠ファイル対応表）・未確認事項の7点を新規作成</t>
  </si>
  <si>
    <t>docs/01_要件定義書.md〜docs/07_未確認事項.md（7ファイル）</t>
  </si>
  <si>
    <t>既存のM〜R工程（PR#4〜8）とは独立した棚卸しタスク。マージ状況には影響しない</t>
  </si>
  <si>
    <t>合計（タスク工数）</t>
  </si>
  <si>
    <t>チーム開発演習 大枠WBS（1人用・イベント申込システム）</t>
  </si>
  <si>
    <t>No</t>
  </si>
  <si>
    <t>主な作業内容</t>
  </si>
  <si>
    <t>主な成果物</t>
  </si>
  <si>
    <t>先行</t>
  </si>
  <si>
    <t>目安日数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</si>
  <si>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</si>
  <si>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</si>
  <si>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</si>
  <si>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</si>
  <si>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</si>
  <si>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</si>
  <si>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</si>
  <si>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</si>
  <si>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</si>
  <si>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</si>
  <si>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</si>
  <si>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</si>
  <si>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</si>
  <si>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</si>
  <si>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</si>
  <si>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</si>
  <si>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</si>
  <si>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</si>
  <si>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</si>
  <si>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</si>
  <si>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</si>
  <si>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</si>
  <si>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</si>
  <si>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</si>
  <si>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</si>
  <si>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</si>
  <si>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</si>
  <si>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</si>
  <si>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</si>
  <si>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</si>
  <si>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機能追加</t>
  </si>
  <si>
    <t>ログイン、会員登録</t>
  </si>
  <si>
    <t>I</t>
  </si>
  <si>
    <t>動作確認</t>
  </si>
  <si>
    <t>K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</si>
  <si>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</si>
  <si>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</si>
  <si>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</si>
  <si>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</si>
  <si>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</si>
  <si>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</si>
  <si>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</si>
  <si>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</si>
  <si>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</si>
  <si>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</si>
  <si>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</si>
  <si>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</si>
  <si>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</si>
  <si>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</si>
  <si>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</si>
  <si>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</si>
  <si>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</si>
  <si>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</si>
  <si>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</si>
  <si>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</si>
  <si>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ER図・テーブル定義書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</si>
  <si>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</si>
  <si>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</si>
  <si>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</si>
  <si>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</si>
  <si>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</si>
  <si>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</si>
  <si>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</si>
  <si>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</si>
  <si>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</si>
  <si>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</si>
  <si>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</si>
  <si>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</si>
  <si>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</si>
  <si>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</si>
  <si>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</si>
  <si>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</si>
  <si>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</si>
  <si>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</si>
  <si>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</si>
  <si>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</si>
  <si>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</si>
  <si>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</si>
  <si>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</si>
  <si>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</si>
  <si>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</si>
  <si>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</si>
  <si>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</si>
  <si>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</si>
  <si>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</si>
  <si>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</si>
  <si>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</si>
  <si>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</si>
  <si>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</si>
  <si>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</si>
  <si>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</si>
  <si>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</si>
  <si>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</si>
  <si>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</si>
  <si>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</si>
  <si>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</si>
  <si>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</si>
  <si>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</si>
  <si>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</si>
  <si>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</si>
  <si>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</si>
  <si>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</si>
  <si>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</si>
  <si>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</si>
  <si>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</si>
  <si>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</si>
  <si>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</si>
  <si>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</si>
  <si>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</si>
  <si>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</si>
  <si>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</si>
  <si>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</si>
  <si>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</si>
  <si>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</si>
  <si>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</si>
  <si>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</si>
  <si>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</si>
  <si>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</si>
  <si>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</si>
  <si>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</si>
  <si>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</si>
  <si>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</si>
  <si>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</si>
  <si>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</si>
  <si>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</si>
  <si>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</si>
  <si>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</si>
  <si>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</si>
  <si>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</si>
  <si>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</si>
  <si>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</si>
  <si>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</si>
  <si>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</si>
  <si>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</si>
  <si>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</si>
  <si>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</si>
  <si>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</si>
  <si>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</si>
  <si>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</si>
  <si>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</si>
  <si>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</si>
  <si>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</si>
  <si>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</si>
  <si>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</si>
  <si>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</si>
  <si>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</si>
  <si>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</si>
  <si>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</si>
  <si>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</si>
  <si>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</si>
  <si>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</si>
  <si>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</si>
  <si>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</si>
  <si>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</si>
  <si>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</si>
  <si>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</si>
  <si>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</si>
  <si>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</si>
  <si>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</si>
  <si>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</si>
  <si>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</si>
  <si>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</si>
  <si>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</si>
  <si>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</si>
  <si>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</si>
  <si>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</si>
  <si>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</si>
  <si>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</si>
  <si>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G-1〜G-3</t>
  </si>
  <si>
    <t>機能追加・最終テスト</t>
  </si>
  <si>
    <t>I-1</t>
  </si>
  <si>
    <t>ログイン方式変更・会員登録・イベント検索・カード型UI等の追加実装</t>
  </si>
  <si>
    <t>追加機能一式</t>
  </si>
  <si>
    <t>I-2</t>
  </si>
  <si>
    <t>最終テスト・動作確認</t>
  </si>
  <si>
    <t>追加機能を含めた全体の回帰テスト・動作確認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</si>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</sst>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\-mm\-dd\ h:mm:ss"/>
  </numFmts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13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b/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  <xf numFmtId="0" fontId="5" fillId="0" borderId="0" xfId="0" applyFont="1" applyAlignment="1"/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vertical="top" wrapText="1"/>
    </xf>
    <xf numFmtId="176" fontId="7" fillId="3" borderId="0" xfId="0" applyNumberFormat="1" applyFont="1" applyFill="1" applyAlignment="1">
      <alignment vertical="top" wrapText="1"/>
    </xf>
    <xf numFmtId="177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</cellXfs>
  <cellStyles count="1">
    <cellStyle name="標準" xfId="0" builtinId="0"/>
  </cellStyles>
  <dxfs count="32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showGridLines="0" workbookViewId="0">
      <pane xSplit="2" ySplit="2" topLeftCell="C7" activePane="bottomRight" state="frozen"/>
      <selection pane="topRight"/>
      <selection pane="bottomLeft"/>
      <selection pane="bottomRight" activeCell="I13" sqref="I13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176</v>
      </c>
    </row>
    <row r="2" spans="1:11" x14ac:dyDescent="0.55000000000000004">
      <c r="A2" s="3" t="s">
        <v>177</v>
      </c>
      <c r="B2" s="3" t="s">
        <v>2</v>
      </c>
      <c r="C2" s="3" t="s">
        <v>178</v>
      </c>
      <c r="D2" s="3" t="s">
        <v>179</v>
      </c>
      <c r="E2" s="3" t="s">
        <v>180</v>
      </c>
      <c r="F2" s="3" t="s">
        <v>7</v>
      </c>
      <c r="G2" s="3" t="s">
        <v>181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 ht="36" customHeight="1" x14ac:dyDescent="0.55000000000000004">
      <c r="A3" s="4" t="s">
        <v>182</v>
      </c>
      <c r="B3" s="4" t="s">
        <v>183</v>
      </c>
      <c r="C3" s="4" t="s">
        <v>184</v>
      </c>
      <c r="D3" s="4" t="s">
        <v>185</v>
      </c>
      <c r="E3" s="4" t="s">
        <v>18</v>
      </c>
      <c r="F3" s="4">
        <v>9</v>
      </c>
      <c r="G3" s="4">
        <v>1</v>
      </c>
      <c r="H3" s="5" t="s">
        <v>19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182</v>
      </c>
      <c r="F4" s="4">
        <v>6</v>
      </c>
      <c r="G4" s="4">
        <v>0.5</v>
      </c>
      <c r="H4" s="5" t="s">
        <v>19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190</v>
      </c>
      <c r="B5" s="4" t="s">
        <v>191</v>
      </c>
      <c r="C5" s="4" t="s">
        <v>192</v>
      </c>
      <c r="D5" s="4" t="s">
        <v>193</v>
      </c>
      <c r="E5" s="4" t="s">
        <v>194</v>
      </c>
      <c r="F5" s="4">
        <v>3</v>
      </c>
      <c r="G5" s="4">
        <v>0.5</v>
      </c>
      <c r="H5" s="5" t="s">
        <v>19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195</v>
      </c>
      <c r="B6" s="4" t="s">
        <v>196</v>
      </c>
      <c r="C6" s="4" t="s">
        <v>197</v>
      </c>
      <c r="D6" s="4" t="s">
        <v>198</v>
      </c>
      <c r="E6" s="4" t="s">
        <v>190</v>
      </c>
      <c r="F6" s="4">
        <v>23</v>
      </c>
      <c r="G6" s="4">
        <v>1.5</v>
      </c>
      <c r="H6" s="5" t="s">
        <v>19</v>
      </c>
      <c r="I6" s="6">
        <v>46276</v>
      </c>
      <c r="J6" s="6">
        <v>46279</v>
      </c>
      <c r="K6" s="4"/>
    </row>
    <row r="7" spans="1:11" ht="36" customHeight="1" x14ac:dyDescent="0.55000000000000004">
      <c r="A7" s="4" t="s">
        <v>199</v>
      </c>
      <c r="B7" s="4" t="s">
        <v>200</v>
      </c>
      <c r="C7" s="4" t="s">
        <v>201</v>
      </c>
      <c r="D7" s="4" t="s">
        <v>202</v>
      </c>
      <c r="E7" s="4" t="s">
        <v>195</v>
      </c>
      <c r="F7" s="4">
        <v>23</v>
      </c>
      <c r="G7" s="4">
        <v>1.5</v>
      </c>
      <c r="H7" s="5" t="s">
        <v>19</v>
      </c>
      <c r="I7" s="6">
        <v>46276</v>
      </c>
      <c r="J7" s="6">
        <v>46279</v>
      </c>
      <c r="K7" s="4"/>
    </row>
    <row r="8" spans="1:11" ht="36" customHeight="1" x14ac:dyDescent="0.55000000000000004">
      <c r="A8" s="4" t="s">
        <v>203</v>
      </c>
      <c r="B8" s="4" t="s">
        <v>204</v>
      </c>
      <c r="C8" s="4" t="s">
        <v>205</v>
      </c>
      <c r="D8" s="4" t="s">
        <v>206</v>
      </c>
      <c r="E8" s="4" t="s">
        <v>199</v>
      </c>
      <c r="F8" s="4">
        <v>3</v>
      </c>
      <c r="G8" s="4">
        <v>0.5</v>
      </c>
      <c r="H8" s="5" t="s">
        <v>19</v>
      </c>
      <c r="I8" s="6">
        <v>46280</v>
      </c>
      <c r="J8" s="6">
        <v>46280</v>
      </c>
      <c r="K8" s="4"/>
    </row>
    <row r="9" spans="1:11" ht="36" customHeight="1" x14ac:dyDescent="0.55000000000000004">
      <c r="A9" s="4" t="s">
        <v>207</v>
      </c>
      <c r="B9" s="4" t="s">
        <v>208</v>
      </c>
      <c r="C9" s="4" t="s">
        <v>209</v>
      </c>
      <c r="D9" s="4" t="s">
        <v>210</v>
      </c>
      <c r="E9" s="4" t="s">
        <v>203</v>
      </c>
      <c r="F9" s="4">
        <v>8</v>
      </c>
      <c r="G9" s="4">
        <v>1</v>
      </c>
      <c r="H9" s="5" t="s">
        <v>19</v>
      </c>
      <c r="I9" s="6">
        <v>46279</v>
      </c>
      <c r="J9" s="6">
        <v>46280</v>
      </c>
      <c r="K9" s="4"/>
    </row>
    <row r="10" spans="1:11" ht="36" customHeight="1" x14ac:dyDescent="0.55000000000000004">
      <c r="A10" s="4" t="s">
        <v>211</v>
      </c>
      <c r="B10" s="4" t="s">
        <v>212</v>
      </c>
      <c r="C10" s="4" t="s">
        <v>213</v>
      </c>
      <c r="D10" s="4"/>
      <c r="E10" s="4"/>
      <c r="F10" s="4"/>
      <c r="G10" s="4"/>
      <c r="H10" s="5" t="s">
        <v>19</v>
      </c>
      <c r="I10" s="6">
        <v>46280</v>
      </c>
      <c r="J10" s="6">
        <v>46281</v>
      </c>
      <c r="K10" s="4"/>
    </row>
    <row r="11" spans="1:11" ht="36" customHeight="1" x14ac:dyDescent="0.55000000000000004">
      <c r="A11" s="4" t="s">
        <v>214</v>
      </c>
      <c r="B11" s="4" t="s">
        <v>215</v>
      </c>
      <c r="C11" s="4"/>
      <c r="D11" s="4"/>
      <c r="E11" s="4"/>
      <c r="F11" s="4"/>
      <c r="G11" s="4"/>
      <c r="H11" s="5" t="s">
        <v>19</v>
      </c>
      <c r="I11" s="6">
        <v>46280</v>
      </c>
      <c r="J11" s="6">
        <v>46282</v>
      </c>
      <c r="K11" s="4"/>
    </row>
    <row r="12" spans="1:11" ht="36" customHeight="1" x14ac:dyDescent="0.55000000000000004">
      <c r="A12" s="4" t="s">
        <v>216</v>
      </c>
      <c r="B12" s="4" t="s">
        <v>217</v>
      </c>
      <c r="C12" s="4" t="s">
        <v>218</v>
      </c>
      <c r="D12" s="4" t="s">
        <v>219</v>
      </c>
      <c r="E12" s="4" t="s">
        <v>207</v>
      </c>
      <c r="F12" s="4">
        <v>3</v>
      </c>
      <c r="G12" s="4">
        <v>0.5</v>
      </c>
      <c r="H12" s="5" t="s">
        <v>19</v>
      </c>
      <c r="I12" s="6">
        <v>46282</v>
      </c>
      <c r="J12" s="6">
        <v>46282</v>
      </c>
      <c r="K12" s="4"/>
    </row>
    <row r="13" spans="1:11" x14ac:dyDescent="0.55000000000000004">
      <c r="B13" s="7" t="s">
        <v>220</v>
      </c>
      <c r="F13" s="7">
        <f>SUM(F3:F12)</f>
        <v>78</v>
      </c>
      <c r="G13" s="7">
        <f>SUM(G3:G12)</f>
        <v>7</v>
      </c>
    </row>
  </sheetData>
  <phoneticPr fontId="1"/>
  <conditionalFormatting sqref="A3:K12">
    <cfRule type="expression" dxfId="31" priority="5" stopIfTrue="1">
      <formula>$H3="未着手"</formula>
    </cfRule>
    <cfRule type="expression" dxfId="30" priority="6" stopIfTrue="1">
      <formula>$H3="着手中"</formula>
    </cfRule>
    <cfRule type="expression" dxfId="29" priority="7" stopIfTrue="1">
      <formula>$H3="完了"</formula>
    </cfRule>
    <cfRule type="expression" dxfId="28" priority="8" stopIfTrue="1">
      <formula>$H3="修正中"</formula>
    </cfRule>
  </conditionalFormatting>
  <conditionalFormatting sqref="H3:H12">
    <cfRule type="expression" dxfId="27" priority="1" stopIfTrue="1">
      <formula>$H3="未着手"</formula>
    </cfRule>
    <cfRule type="expression" dxfId="26" priority="2" stopIfTrue="1">
      <formula>$H3="着手中"</formula>
    </cfRule>
    <cfRule type="expression" dxfId="25" priority="3" stopIfTrue="1">
      <formula>$H3="完了"</formula>
    </cfRule>
    <cfRule type="expression" dxfId="24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2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"/>
  <sheetViews>
    <sheetView showGridLines="0" workbookViewId="0">
      <pane xSplit="2" ySplit="2" topLeftCell="F44" activePane="bottomRight" state="frozen"/>
      <selection pane="topRight"/>
      <selection pane="bottomLeft"/>
      <selection pane="bottomRight" activeCell="H48" sqref="H48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221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 x14ac:dyDescent="0.55000000000000004">
      <c r="A3" s="8" t="s">
        <v>182</v>
      </c>
      <c r="B3" s="8" t="s">
        <v>183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222</v>
      </c>
      <c r="B4" s="4" t="s">
        <v>183</v>
      </c>
      <c r="C4" s="4" t="s">
        <v>223</v>
      </c>
      <c r="D4" s="4" t="s">
        <v>224</v>
      </c>
      <c r="E4" s="4" t="s">
        <v>225</v>
      </c>
      <c r="F4" s="4" t="s">
        <v>18</v>
      </c>
      <c r="G4" s="4">
        <v>1</v>
      </c>
      <c r="H4" s="5" t="s">
        <v>19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226</v>
      </c>
      <c r="B5" s="4" t="s">
        <v>183</v>
      </c>
      <c r="C5" s="4" t="s">
        <v>227</v>
      </c>
      <c r="D5" s="4" t="s">
        <v>228</v>
      </c>
      <c r="E5" s="4" t="s">
        <v>229</v>
      </c>
      <c r="F5" s="4" t="s">
        <v>222</v>
      </c>
      <c r="G5" s="4">
        <v>2</v>
      </c>
      <c r="H5" s="5" t="s">
        <v>19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230</v>
      </c>
      <c r="B6" s="4" t="s">
        <v>183</v>
      </c>
      <c r="C6" s="4" t="s">
        <v>231</v>
      </c>
      <c r="D6" s="4" t="s">
        <v>232</v>
      </c>
      <c r="E6" s="4" t="s">
        <v>233</v>
      </c>
      <c r="F6" s="4" t="s">
        <v>222</v>
      </c>
      <c r="G6" s="4">
        <v>2.5</v>
      </c>
      <c r="H6" s="5" t="s">
        <v>19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234</v>
      </c>
      <c r="B7" s="4" t="s">
        <v>183</v>
      </c>
      <c r="C7" s="4" t="s">
        <v>235</v>
      </c>
      <c r="D7" s="4" t="s">
        <v>236</v>
      </c>
      <c r="E7" s="4" t="s">
        <v>237</v>
      </c>
      <c r="F7" s="4" t="s">
        <v>222</v>
      </c>
      <c r="G7" s="4">
        <v>2</v>
      </c>
      <c r="H7" s="5" t="s">
        <v>19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238</v>
      </c>
      <c r="B8" s="4" t="s">
        <v>183</v>
      </c>
      <c r="C8" s="4" t="s">
        <v>239</v>
      </c>
      <c r="D8" s="4" t="s">
        <v>240</v>
      </c>
      <c r="E8" s="4" t="s">
        <v>241</v>
      </c>
      <c r="F8" s="4" t="s">
        <v>242</v>
      </c>
      <c r="G8" s="4">
        <v>1.5</v>
      </c>
      <c r="H8" s="5" t="s">
        <v>19</v>
      </c>
      <c r="I8" s="6">
        <v>46276</v>
      </c>
      <c r="J8" s="6">
        <v>46276</v>
      </c>
      <c r="K8" s="4"/>
    </row>
    <row r="9" spans="1:11" x14ac:dyDescent="0.55000000000000004">
      <c r="A9" s="8" t="s">
        <v>186</v>
      </c>
      <c r="B9" s="8" t="s">
        <v>187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243</v>
      </c>
      <c r="B10" s="4" t="s">
        <v>187</v>
      </c>
      <c r="C10" s="4" t="s">
        <v>244</v>
      </c>
      <c r="D10" s="4" t="s">
        <v>245</v>
      </c>
      <c r="E10" s="4" t="s">
        <v>246</v>
      </c>
      <c r="F10" s="4" t="s">
        <v>182</v>
      </c>
      <c r="G10" s="4">
        <v>1</v>
      </c>
      <c r="H10" s="5" t="s">
        <v>19</v>
      </c>
      <c r="I10" s="6">
        <v>46276</v>
      </c>
      <c r="J10" s="6">
        <v>46276</v>
      </c>
      <c r="K10" s="4"/>
    </row>
    <row r="11" spans="1:11" x14ac:dyDescent="0.55000000000000004">
      <c r="A11" s="4" t="s">
        <v>247</v>
      </c>
      <c r="B11" s="4" t="s">
        <v>187</v>
      </c>
      <c r="C11" s="4" t="s">
        <v>248</v>
      </c>
      <c r="D11" s="4" t="s">
        <v>249</v>
      </c>
      <c r="E11" s="4" t="s">
        <v>250</v>
      </c>
      <c r="F11" s="4" t="s">
        <v>243</v>
      </c>
      <c r="G11" s="4">
        <v>1</v>
      </c>
      <c r="H11" s="5" t="s">
        <v>19</v>
      </c>
      <c r="I11" s="6">
        <v>46276</v>
      </c>
      <c r="J11" s="6">
        <v>46276</v>
      </c>
      <c r="K11" s="4"/>
    </row>
    <row r="12" spans="1:11" x14ac:dyDescent="0.55000000000000004">
      <c r="A12" s="4" t="s">
        <v>251</v>
      </c>
      <c r="B12" s="4" t="s">
        <v>187</v>
      </c>
      <c r="C12" s="4" t="s">
        <v>252</v>
      </c>
      <c r="D12" s="4" t="s">
        <v>253</v>
      </c>
      <c r="E12" s="4" t="s">
        <v>254</v>
      </c>
      <c r="F12" s="4" t="s">
        <v>243</v>
      </c>
      <c r="G12" s="4">
        <v>1</v>
      </c>
      <c r="H12" s="5" t="s">
        <v>19</v>
      </c>
      <c r="I12" s="6">
        <v>46276</v>
      </c>
      <c r="J12" s="6">
        <v>46276</v>
      </c>
      <c r="K12" s="4"/>
    </row>
    <row r="13" spans="1:11" x14ac:dyDescent="0.55000000000000004">
      <c r="A13" s="4" t="s">
        <v>255</v>
      </c>
      <c r="B13" s="4" t="s">
        <v>187</v>
      </c>
      <c r="C13" s="4" t="s">
        <v>256</v>
      </c>
      <c r="D13" s="4" t="s">
        <v>257</v>
      </c>
      <c r="E13" s="4" t="s">
        <v>258</v>
      </c>
      <c r="F13" s="4" t="s">
        <v>251</v>
      </c>
      <c r="G13" s="4">
        <v>0.5</v>
      </c>
      <c r="H13" s="5" t="s">
        <v>19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259</v>
      </c>
      <c r="B14" s="4" t="s">
        <v>187</v>
      </c>
      <c r="C14" s="4" t="s">
        <v>260</v>
      </c>
      <c r="D14" s="4" t="s">
        <v>261</v>
      </c>
      <c r="E14" s="4" t="s">
        <v>262</v>
      </c>
      <c r="F14" s="4" t="s">
        <v>263</v>
      </c>
      <c r="G14" s="4">
        <v>2.5</v>
      </c>
      <c r="H14" s="5" t="s">
        <v>19</v>
      </c>
      <c r="I14" s="6">
        <v>46276</v>
      </c>
      <c r="J14" s="6">
        <v>46276</v>
      </c>
      <c r="K14" s="4"/>
    </row>
    <row r="15" spans="1:11" x14ac:dyDescent="0.55000000000000004">
      <c r="A15" s="8" t="s">
        <v>190</v>
      </c>
      <c r="B15" s="8" t="s">
        <v>191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264</v>
      </c>
      <c r="B16" s="4" t="s">
        <v>191</v>
      </c>
      <c r="C16" s="4" t="s">
        <v>265</v>
      </c>
      <c r="D16" s="4" t="s">
        <v>266</v>
      </c>
      <c r="E16" s="4" t="s">
        <v>267</v>
      </c>
      <c r="F16" s="4" t="s">
        <v>268</v>
      </c>
      <c r="G16" s="4">
        <v>1.5</v>
      </c>
      <c r="H16" s="5" t="s">
        <v>19</v>
      </c>
      <c r="I16" s="6">
        <v>46276</v>
      </c>
      <c r="J16" s="6">
        <v>46276</v>
      </c>
      <c r="K16" s="4"/>
    </row>
    <row r="17" spans="1:11" x14ac:dyDescent="0.55000000000000004">
      <c r="A17" s="4" t="s">
        <v>269</v>
      </c>
      <c r="B17" s="4" t="s">
        <v>191</v>
      </c>
      <c r="C17" s="4" t="s">
        <v>270</v>
      </c>
      <c r="D17" s="4" t="s">
        <v>271</v>
      </c>
      <c r="E17" s="4" t="s">
        <v>272</v>
      </c>
      <c r="F17" s="4" t="s">
        <v>264</v>
      </c>
      <c r="G17" s="4">
        <v>1.5</v>
      </c>
      <c r="H17" s="5" t="s">
        <v>19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195</v>
      </c>
      <c r="B18" s="8" t="s">
        <v>196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273</v>
      </c>
      <c r="B19" s="4" t="s">
        <v>196</v>
      </c>
      <c r="C19" s="4" t="s">
        <v>274</v>
      </c>
      <c r="D19" s="4" t="s">
        <v>275</v>
      </c>
      <c r="E19" s="4" t="s">
        <v>276</v>
      </c>
      <c r="F19" s="4" t="s">
        <v>190</v>
      </c>
      <c r="G19" s="4">
        <v>3</v>
      </c>
      <c r="H19" s="5" t="s">
        <v>19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277</v>
      </c>
      <c r="B20" s="4" t="s">
        <v>196</v>
      </c>
      <c r="C20" s="4" t="s">
        <v>278</v>
      </c>
      <c r="D20" s="4" t="s">
        <v>279</v>
      </c>
      <c r="E20" s="4" t="s">
        <v>276</v>
      </c>
      <c r="F20" s="4" t="s">
        <v>190</v>
      </c>
      <c r="G20" s="4">
        <v>5</v>
      </c>
      <c r="H20" s="5" t="s">
        <v>19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280</v>
      </c>
      <c r="B21" s="4" t="s">
        <v>196</v>
      </c>
      <c r="C21" s="4" t="s">
        <v>281</v>
      </c>
      <c r="D21" s="4" t="s">
        <v>282</v>
      </c>
      <c r="E21" s="4" t="s">
        <v>276</v>
      </c>
      <c r="F21" s="4" t="s">
        <v>190</v>
      </c>
      <c r="G21" s="4">
        <v>3</v>
      </c>
      <c r="H21" s="5" t="s">
        <v>19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283</v>
      </c>
      <c r="B22" s="4" t="s">
        <v>196</v>
      </c>
      <c r="C22" s="4" t="s">
        <v>284</v>
      </c>
      <c r="D22" s="4" t="s">
        <v>285</v>
      </c>
      <c r="E22" s="4" t="s">
        <v>276</v>
      </c>
      <c r="F22" s="4" t="s">
        <v>190</v>
      </c>
      <c r="G22" s="4">
        <v>2</v>
      </c>
      <c r="H22" s="5" t="s">
        <v>19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286</v>
      </c>
      <c r="B23" s="4" t="s">
        <v>196</v>
      </c>
      <c r="C23" s="4" t="s">
        <v>287</v>
      </c>
      <c r="D23" s="4" t="s">
        <v>288</v>
      </c>
      <c r="E23" s="4" t="s">
        <v>276</v>
      </c>
      <c r="F23" s="4" t="s">
        <v>190</v>
      </c>
      <c r="G23" s="4">
        <v>2</v>
      </c>
      <c r="H23" s="5" t="s">
        <v>19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289</v>
      </c>
      <c r="B24" s="4" t="s">
        <v>196</v>
      </c>
      <c r="C24" s="4" t="s">
        <v>290</v>
      </c>
      <c r="D24" s="4" t="s">
        <v>291</v>
      </c>
      <c r="E24" s="4" t="s">
        <v>276</v>
      </c>
      <c r="F24" s="4" t="s">
        <v>280</v>
      </c>
      <c r="G24" s="4">
        <v>3</v>
      </c>
      <c r="H24" s="5" t="s">
        <v>19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292</v>
      </c>
      <c r="B25" s="4" t="s">
        <v>196</v>
      </c>
      <c r="C25" s="4" t="s">
        <v>293</v>
      </c>
      <c r="D25" s="4" t="s">
        <v>294</v>
      </c>
      <c r="E25" s="4" t="s">
        <v>295</v>
      </c>
      <c r="F25" s="4" t="s">
        <v>280</v>
      </c>
      <c r="G25" s="4">
        <v>4</v>
      </c>
      <c r="H25" s="5" t="s">
        <v>19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296</v>
      </c>
      <c r="B26" s="4" t="s">
        <v>196</v>
      </c>
      <c r="C26" s="4" t="s">
        <v>297</v>
      </c>
      <c r="D26" s="4" t="s">
        <v>298</v>
      </c>
      <c r="E26" s="4" t="s">
        <v>299</v>
      </c>
      <c r="F26" s="4" t="s">
        <v>300</v>
      </c>
      <c r="G26" s="4">
        <v>1</v>
      </c>
      <c r="H26" s="5" t="s">
        <v>19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199</v>
      </c>
      <c r="B27" s="8" t="s">
        <v>200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301</v>
      </c>
      <c r="B28" s="4" t="s">
        <v>200</v>
      </c>
      <c r="C28" s="4" t="s">
        <v>302</v>
      </c>
      <c r="D28" s="4" t="s">
        <v>303</v>
      </c>
      <c r="E28" s="4" t="s">
        <v>304</v>
      </c>
      <c r="F28" s="4" t="s">
        <v>305</v>
      </c>
      <c r="G28" s="4">
        <v>4</v>
      </c>
      <c r="H28" s="5" t="s">
        <v>19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306</v>
      </c>
      <c r="B29" s="4" t="s">
        <v>200</v>
      </c>
      <c r="C29" s="4" t="s">
        <v>307</v>
      </c>
      <c r="D29" s="4" t="s">
        <v>308</v>
      </c>
      <c r="E29" s="4" t="s">
        <v>309</v>
      </c>
      <c r="F29" s="4" t="s">
        <v>301</v>
      </c>
      <c r="G29" s="4">
        <v>2</v>
      </c>
      <c r="H29" s="5" t="s">
        <v>19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310</v>
      </c>
      <c r="B30" s="4" t="s">
        <v>200</v>
      </c>
      <c r="C30" s="4" t="s">
        <v>311</v>
      </c>
      <c r="D30" s="4" t="s">
        <v>312</v>
      </c>
      <c r="E30" s="4" t="s">
        <v>309</v>
      </c>
      <c r="F30" s="4" t="s">
        <v>313</v>
      </c>
      <c r="G30" s="4">
        <v>5.5</v>
      </c>
      <c r="H30" s="5" t="s">
        <v>19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314</v>
      </c>
      <c r="B31" s="4" t="s">
        <v>200</v>
      </c>
      <c r="C31" s="4" t="s">
        <v>315</v>
      </c>
      <c r="D31" s="4" t="s">
        <v>316</v>
      </c>
      <c r="E31" s="4" t="s">
        <v>309</v>
      </c>
      <c r="F31" s="4" t="s">
        <v>317</v>
      </c>
      <c r="G31" s="4">
        <v>4</v>
      </c>
      <c r="H31" s="5" t="s">
        <v>19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318</v>
      </c>
      <c r="B32" s="4" t="s">
        <v>200</v>
      </c>
      <c r="C32" s="4" t="s">
        <v>319</v>
      </c>
      <c r="D32" s="4" t="s">
        <v>320</v>
      </c>
      <c r="E32" s="4" t="s">
        <v>309</v>
      </c>
      <c r="F32" s="4" t="s">
        <v>321</v>
      </c>
      <c r="G32" s="4">
        <v>4.5</v>
      </c>
      <c r="H32" s="5" t="s">
        <v>19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322</v>
      </c>
      <c r="B33" s="4" t="s">
        <v>200</v>
      </c>
      <c r="C33" s="4" t="s">
        <v>323</v>
      </c>
      <c r="D33" s="4" t="s">
        <v>324</v>
      </c>
      <c r="E33" s="4" t="s">
        <v>309</v>
      </c>
      <c r="F33" s="4" t="s">
        <v>325</v>
      </c>
      <c r="G33" s="4">
        <v>2</v>
      </c>
      <c r="H33" s="5" t="s">
        <v>19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326</v>
      </c>
      <c r="B34" s="4" t="s">
        <v>200</v>
      </c>
      <c r="C34" s="4" t="s">
        <v>327</v>
      </c>
      <c r="D34" s="4" t="s">
        <v>328</v>
      </c>
      <c r="E34" s="4" t="s">
        <v>329</v>
      </c>
      <c r="F34" s="4" t="s">
        <v>306</v>
      </c>
      <c r="G34" s="4">
        <v>1</v>
      </c>
      <c r="H34" s="5" t="s">
        <v>19</v>
      </c>
      <c r="I34" s="6">
        <v>46279</v>
      </c>
      <c r="J34" s="6">
        <v>46279</v>
      </c>
      <c r="K34" s="4"/>
    </row>
    <row r="35" spans="1:11" x14ac:dyDescent="0.55000000000000004">
      <c r="A35" s="8" t="s">
        <v>203</v>
      </c>
      <c r="B35" s="8" t="s">
        <v>204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330</v>
      </c>
      <c r="B36" s="4" t="s">
        <v>204</v>
      </c>
      <c r="C36" s="4" t="s">
        <v>331</v>
      </c>
      <c r="D36" s="4" t="s">
        <v>332</v>
      </c>
      <c r="E36" s="4" t="s">
        <v>299</v>
      </c>
      <c r="F36" s="4" t="s">
        <v>199</v>
      </c>
      <c r="G36" s="4">
        <v>1</v>
      </c>
      <c r="H36" s="5" t="s">
        <v>19</v>
      </c>
      <c r="I36" s="6">
        <v>46280</v>
      </c>
      <c r="J36" s="6">
        <v>46280</v>
      </c>
      <c r="K36" s="4"/>
    </row>
    <row r="37" spans="1:11" x14ac:dyDescent="0.55000000000000004">
      <c r="A37" s="4" t="s">
        <v>333</v>
      </c>
      <c r="B37" s="4" t="s">
        <v>204</v>
      </c>
      <c r="C37" s="4" t="s">
        <v>334</v>
      </c>
      <c r="D37" s="4" t="s">
        <v>335</v>
      </c>
      <c r="E37" s="4" t="s">
        <v>336</v>
      </c>
      <c r="F37" s="4" t="s">
        <v>330</v>
      </c>
      <c r="G37" s="4">
        <v>2</v>
      </c>
      <c r="H37" s="5" t="s">
        <v>19</v>
      </c>
      <c r="I37" s="6">
        <v>46280</v>
      </c>
      <c r="J37" s="6">
        <v>46280</v>
      </c>
      <c r="K37" s="4"/>
    </row>
    <row r="38" spans="1:11" x14ac:dyDescent="0.55000000000000004">
      <c r="A38" s="8" t="s">
        <v>207</v>
      </c>
      <c r="B38" s="8" t="s">
        <v>208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337</v>
      </c>
      <c r="B39" s="4" t="s">
        <v>208</v>
      </c>
      <c r="C39" s="4" t="s">
        <v>338</v>
      </c>
      <c r="D39" s="4" t="s">
        <v>339</v>
      </c>
      <c r="E39" s="4" t="s">
        <v>37</v>
      </c>
      <c r="F39" s="4" t="s">
        <v>292</v>
      </c>
      <c r="G39" s="4">
        <v>2.5</v>
      </c>
      <c r="H39" s="5" t="s">
        <v>19</v>
      </c>
      <c r="I39" s="6">
        <v>46280</v>
      </c>
      <c r="J39" s="6">
        <v>46280</v>
      </c>
      <c r="K39" s="4"/>
    </row>
    <row r="40" spans="1:11" x14ac:dyDescent="0.55000000000000004">
      <c r="A40" s="4" t="s">
        <v>340</v>
      </c>
      <c r="B40" s="4" t="s">
        <v>208</v>
      </c>
      <c r="C40" s="4" t="s">
        <v>341</v>
      </c>
      <c r="D40" s="4" t="s">
        <v>342</v>
      </c>
      <c r="E40" s="4" t="s">
        <v>37</v>
      </c>
      <c r="F40" s="4" t="s">
        <v>296</v>
      </c>
      <c r="G40" s="4">
        <v>2.5</v>
      </c>
      <c r="H40" s="5" t="s">
        <v>19</v>
      </c>
      <c r="I40" s="6">
        <v>46280</v>
      </c>
      <c r="J40" s="6">
        <v>46280</v>
      </c>
      <c r="K40" s="4"/>
    </row>
    <row r="41" spans="1:11" x14ac:dyDescent="0.55000000000000004">
      <c r="A41" s="4" t="s">
        <v>343</v>
      </c>
      <c r="B41" s="4" t="s">
        <v>208</v>
      </c>
      <c r="C41" s="4" t="s">
        <v>344</v>
      </c>
      <c r="D41" s="4" t="s">
        <v>345</v>
      </c>
      <c r="E41" s="4" t="s">
        <v>346</v>
      </c>
      <c r="F41" s="4" t="s">
        <v>333</v>
      </c>
      <c r="G41" s="4">
        <v>1.5</v>
      </c>
      <c r="H41" s="5" t="s">
        <v>19</v>
      </c>
      <c r="I41" s="6">
        <v>46280</v>
      </c>
      <c r="J41" s="6">
        <v>46280</v>
      </c>
      <c r="K41" s="4"/>
    </row>
    <row r="42" spans="1:11" x14ac:dyDescent="0.55000000000000004">
      <c r="A42" s="4" t="s">
        <v>347</v>
      </c>
      <c r="B42" s="4" t="s">
        <v>208</v>
      </c>
      <c r="C42" s="4" t="s">
        <v>348</v>
      </c>
      <c r="D42" s="4" t="s">
        <v>349</v>
      </c>
      <c r="E42" s="4" t="s">
        <v>139</v>
      </c>
      <c r="F42" s="4" t="s">
        <v>350</v>
      </c>
      <c r="G42" s="4">
        <v>1.5</v>
      </c>
      <c r="H42" s="5" t="s">
        <v>19</v>
      </c>
      <c r="I42" s="6">
        <v>46280</v>
      </c>
      <c r="J42" s="6">
        <v>46280</v>
      </c>
      <c r="K42" s="4"/>
    </row>
    <row r="43" spans="1:11" x14ac:dyDescent="0.55000000000000004">
      <c r="A43" s="8" t="s">
        <v>214</v>
      </c>
      <c r="B43" s="8" t="s">
        <v>351</v>
      </c>
      <c r="C43" s="8"/>
      <c r="D43" s="8"/>
      <c r="E43" s="8"/>
      <c r="F43" s="8"/>
      <c r="G43" s="8">
        <v>16</v>
      </c>
      <c r="H43" s="8"/>
      <c r="I43" s="8"/>
      <c r="J43" s="8"/>
      <c r="K43" s="8"/>
    </row>
    <row r="44" spans="1:11" ht="36" customHeight="1" x14ac:dyDescent="0.55000000000000004">
      <c r="A44" s="4" t="s">
        <v>352</v>
      </c>
      <c r="B44" s="4" t="s">
        <v>351</v>
      </c>
      <c r="C44" s="4" t="s">
        <v>212</v>
      </c>
      <c r="D44" s="4" t="s">
        <v>353</v>
      </c>
      <c r="E44" s="4" t="s">
        <v>354</v>
      </c>
      <c r="F44" s="4" t="s">
        <v>347</v>
      </c>
      <c r="G44" s="4">
        <v>8</v>
      </c>
      <c r="H44" s="5" t="s">
        <v>19</v>
      </c>
      <c r="I44" s="6">
        <v>46280</v>
      </c>
      <c r="J44" s="6">
        <v>46281</v>
      </c>
      <c r="K44" s="4"/>
    </row>
    <row r="45" spans="1:11" x14ac:dyDescent="0.55000000000000004">
      <c r="A45" s="4" t="s">
        <v>355</v>
      </c>
      <c r="B45" s="4" t="s">
        <v>351</v>
      </c>
      <c r="C45" s="4" t="s">
        <v>356</v>
      </c>
      <c r="D45" s="4" t="s">
        <v>357</v>
      </c>
      <c r="E45" s="4" t="s">
        <v>206</v>
      </c>
      <c r="F45" s="4" t="s">
        <v>352</v>
      </c>
      <c r="G45" s="4">
        <v>8</v>
      </c>
      <c r="H45" s="5" t="s">
        <v>19</v>
      </c>
      <c r="I45" s="6">
        <v>46281</v>
      </c>
      <c r="J45" s="6">
        <v>46282</v>
      </c>
      <c r="K45" s="4"/>
    </row>
    <row r="46" spans="1:11" x14ac:dyDescent="0.55000000000000004">
      <c r="A46" s="8" t="s">
        <v>211</v>
      </c>
      <c r="B46" s="8" t="s">
        <v>217</v>
      </c>
      <c r="C46" s="8"/>
      <c r="D46" s="8"/>
      <c r="E46" s="8"/>
      <c r="F46" s="8"/>
      <c r="G46" s="8">
        <v>3</v>
      </c>
      <c r="H46" s="8"/>
      <c r="I46" s="8"/>
      <c r="J46" s="8"/>
      <c r="K46" s="8"/>
    </row>
    <row r="47" spans="1:11" x14ac:dyDescent="0.55000000000000004">
      <c r="A47" s="4" t="s">
        <v>358</v>
      </c>
      <c r="B47" s="4" t="s">
        <v>217</v>
      </c>
      <c r="C47" s="4" t="s">
        <v>359</v>
      </c>
      <c r="D47" s="4" t="s">
        <v>360</v>
      </c>
      <c r="E47" s="4" t="s">
        <v>361</v>
      </c>
      <c r="F47" s="4" t="s">
        <v>207</v>
      </c>
      <c r="G47" s="4">
        <v>1</v>
      </c>
      <c r="H47" s="5" t="s">
        <v>19</v>
      </c>
      <c r="I47" s="6">
        <v>46282</v>
      </c>
      <c r="J47" s="6">
        <v>46282</v>
      </c>
      <c r="K47" s="4"/>
    </row>
    <row r="48" spans="1:11" x14ac:dyDescent="0.55000000000000004">
      <c r="A48" s="4" t="s">
        <v>362</v>
      </c>
      <c r="B48" s="4" t="s">
        <v>217</v>
      </c>
      <c r="C48" s="4" t="s">
        <v>363</v>
      </c>
      <c r="D48" s="4" t="s">
        <v>364</v>
      </c>
      <c r="E48" s="4" t="s">
        <v>365</v>
      </c>
      <c r="F48" s="4" t="s">
        <v>358</v>
      </c>
      <c r="G48" s="4">
        <v>1</v>
      </c>
      <c r="H48" s="5" t="s">
        <v>19</v>
      </c>
      <c r="I48" s="6">
        <v>46282</v>
      </c>
      <c r="J48" s="6">
        <v>46282</v>
      </c>
      <c r="K48" s="4"/>
    </row>
    <row r="49" spans="1:11" x14ac:dyDescent="0.55000000000000004">
      <c r="A49" s="4" t="s">
        <v>366</v>
      </c>
      <c r="B49" s="4" t="s">
        <v>217</v>
      </c>
      <c r="C49" s="4" t="s">
        <v>367</v>
      </c>
      <c r="D49" s="4" t="s">
        <v>368</v>
      </c>
      <c r="E49" s="4" t="s">
        <v>369</v>
      </c>
      <c r="F49" s="4" t="s">
        <v>362</v>
      </c>
      <c r="G49" s="4">
        <v>1</v>
      </c>
      <c r="H49" s="5" t="s">
        <v>19</v>
      </c>
      <c r="I49" s="6">
        <v>46282</v>
      </c>
      <c r="J49" s="6">
        <v>46282</v>
      </c>
      <c r="K49" s="4"/>
    </row>
    <row r="50" spans="1:11" x14ac:dyDescent="0.55000000000000004">
      <c r="C50" s="7" t="s">
        <v>175</v>
      </c>
      <c r="G50" s="7">
        <f>SUMPRODUCT((ISNUMBER(SEARCH("-",A3:A49)))*G3:G49)</f>
        <v>94</v>
      </c>
    </row>
  </sheetData>
  <phoneticPr fontId="1"/>
  <conditionalFormatting sqref="A3:K49">
    <cfRule type="expression" dxfId="23" priority="1">
      <formula>$H3="未着手"</formula>
    </cfRule>
    <cfRule type="expression" dxfId="22" priority="2">
      <formula>$H3="着手中"</formula>
    </cfRule>
    <cfRule type="expression" dxfId="21" priority="3">
      <formula>$H3="完了"</formula>
    </cfRule>
    <cfRule type="expression" dxfId="20" priority="4">
      <formula>$H3="修正中"</formula>
    </cfRule>
  </conditionalFormatting>
  <conditionalFormatting sqref="H3:H49">
    <cfRule type="expression" dxfId="19" priority="5">
      <formula>$H3="未着手"</formula>
    </cfRule>
    <cfRule type="expression" dxfId="18" priority="6">
      <formula>$H3="着手中"</formula>
    </cfRule>
    <cfRule type="expression" dxfId="17" priority="7">
      <formula>$H3="完了"</formula>
    </cfRule>
    <cfRule type="expression" dxfId="16" priority="8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9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tabSelected="1" topLeftCell="D44" workbookViewId="0">
      <selection activeCell="I44" sqref="I44"/>
    </sheetView>
  </sheetViews>
  <sheetFormatPr defaultRowHeight="18" x14ac:dyDescent="0.55000000000000004"/>
  <cols>
    <col min="1" max="1" width="8" style="1" customWidth="1"/>
    <col min="2" max="2" width="22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30" style="1" customWidth="1"/>
  </cols>
  <sheetData>
    <row r="1" spans="1:11" ht="18.5" customHeight="1" x14ac:dyDescent="0.55000000000000004">
      <c r="A1" s="9" t="s">
        <v>0</v>
      </c>
    </row>
    <row r="2" spans="1:11" x14ac:dyDescent="0.55000000000000004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</row>
    <row r="3" spans="1:11" x14ac:dyDescent="0.55000000000000004">
      <c r="A3" s="11" t="s">
        <v>12</v>
      </c>
      <c r="B3" s="11" t="s">
        <v>13</v>
      </c>
      <c r="C3" s="11"/>
      <c r="D3" s="11"/>
      <c r="E3" s="11"/>
      <c r="F3" s="11"/>
      <c r="G3" s="11">
        <v>5</v>
      </c>
      <c r="H3" s="11"/>
      <c r="I3" s="11"/>
      <c r="J3" s="11"/>
      <c r="K3" s="11"/>
    </row>
    <row r="4" spans="1:11" ht="90" customHeight="1" x14ac:dyDescent="0.55000000000000004">
      <c r="A4" s="12" t="s">
        <v>14</v>
      </c>
      <c r="B4" s="12" t="s">
        <v>13</v>
      </c>
      <c r="C4" s="12" t="s">
        <v>15</v>
      </c>
      <c r="D4" s="12" t="s">
        <v>16</v>
      </c>
      <c r="E4" s="12" t="s">
        <v>17</v>
      </c>
      <c r="F4" s="12" t="s">
        <v>18</v>
      </c>
      <c r="G4" s="12">
        <v>3</v>
      </c>
      <c r="H4" s="12" t="s">
        <v>19</v>
      </c>
      <c r="I4" s="13">
        <v>46283</v>
      </c>
      <c r="J4" s="13">
        <v>46283</v>
      </c>
      <c r="K4" s="12"/>
    </row>
    <row r="5" spans="1:11" ht="54" customHeight="1" x14ac:dyDescent="0.55000000000000004">
      <c r="A5" s="12" t="s">
        <v>20</v>
      </c>
      <c r="B5" s="12" t="s">
        <v>13</v>
      </c>
      <c r="C5" s="12" t="s">
        <v>21</v>
      </c>
      <c r="D5" s="12" t="s">
        <v>22</v>
      </c>
      <c r="E5" s="12" t="s">
        <v>17</v>
      </c>
      <c r="F5" s="12" t="s">
        <v>14</v>
      </c>
      <c r="G5" s="12">
        <v>2</v>
      </c>
      <c r="H5" s="12" t="s">
        <v>19</v>
      </c>
      <c r="I5" s="13">
        <v>46283</v>
      </c>
      <c r="J5" s="13">
        <v>46283</v>
      </c>
      <c r="K5" s="12"/>
    </row>
    <row r="6" spans="1:11" ht="26" customHeight="1" x14ac:dyDescent="0.55000000000000004">
      <c r="A6" s="11" t="s">
        <v>23</v>
      </c>
      <c r="B6" s="11" t="s">
        <v>24</v>
      </c>
      <c r="C6" s="11"/>
      <c r="D6" s="11"/>
      <c r="E6" s="11"/>
      <c r="F6" s="11"/>
      <c r="G6" s="11">
        <v>10</v>
      </c>
      <c r="H6" s="11"/>
      <c r="I6" s="11"/>
      <c r="J6" s="11"/>
      <c r="K6" s="11"/>
    </row>
    <row r="7" spans="1:11" ht="54" customHeight="1" x14ac:dyDescent="0.55000000000000004">
      <c r="A7" s="12" t="s">
        <v>25</v>
      </c>
      <c r="B7" s="12" t="s">
        <v>24</v>
      </c>
      <c r="C7" s="12" t="s">
        <v>26</v>
      </c>
      <c r="D7" s="12" t="s">
        <v>27</v>
      </c>
      <c r="E7" s="12" t="s">
        <v>28</v>
      </c>
      <c r="F7" s="12" t="s">
        <v>14</v>
      </c>
      <c r="G7" s="12">
        <v>4</v>
      </c>
      <c r="H7" s="12" t="s">
        <v>19</v>
      </c>
      <c r="I7" s="13">
        <v>46283</v>
      </c>
      <c r="J7" s="13">
        <v>46289</v>
      </c>
      <c r="K7" s="12" t="s">
        <v>29</v>
      </c>
    </row>
    <row r="8" spans="1:11" ht="54" customHeight="1" x14ac:dyDescent="0.55000000000000004">
      <c r="A8" s="12" t="s">
        <v>30</v>
      </c>
      <c r="B8" s="12" t="s">
        <v>24</v>
      </c>
      <c r="C8" s="12" t="s">
        <v>31</v>
      </c>
      <c r="D8" s="12" t="s">
        <v>32</v>
      </c>
      <c r="E8" s="12" t="s">
        <v>33</v>
      </c>
      <c r="F8" s="12" t="s">
        <v>20</v>
      </c>
      <c r="G8" s="12">
        <v>4</v>
      </c>
      <c r="H8" s="12" t="s">
        <v>19</v>
      </c>
      <c r="I8" s="13">
        <v>46283</v>
      </c>
      <c r="J8" s="13">
        <v>46289</v>
      </c>
      <c r="K8" s="12" t="s">
        <v>29</v>
      </c>
    </row>
    <row r="9" spans="1:11" ht="36" customHeight="1" x14ac:dyDescent="0.55000000000000004">
      <c r="A9" s="12" t="s">
        <v>34</v>
      </c>
      <c r="B9" s="12" t="s">
        <v>24</v>
      </c>
      <c r="C9" s="12" t="s">
        <v>35</v>
      </c>
      <c r="D9" s="12" t="s">
        <v>36</v>
      </c>
      <c r="E9" s="12" t="s">
        <v>37</v>
      </c>
      <c r="F9" s="12" t="s">
        <v>38</v>
      </c>
      <c r="G9" s="12">
        <v>2</v>
      </c>
      <c r="H9" s="12" t="s">
        <v>19</v>
      </c>
      <c r="I9" s="13">
        <v>46283</v>
      </c>
      <c r="J9" s="13">
        <v>46289</v>
      </c>
      <c r="K9" s="12" t="s">
        <v>29</v>
      </c>
    </row>
    <row r="10" spans="1:11" ht="26" customHeight="1" x14ac:dyDescent="0.55000000000000004">
      <c r="A10" s="11" t="s">
        <v>39</v>
      </c>
      <c r="B10" s="11" t="s">
        <v>40</v>
      </c>
      <c r="C10" s="11"/>
      <c r="D10" s="11"/>
      <c r="E10" s="11"/>
      <c r="F10" s="11"/>
      <c r="G10" s="11">
        <v>11</v>
      </c>
      <c r="H10" s="11"/>
      <c r="I10" s="11"/>
      <c r="J10" s="11"/>
      <c r="K10" s="11"/>
    </row>
    <row r="11" spans="1:11" ht="54" customHeight="1" x14ac:dyDescent="0.55000000000000004">
      <c r="A11" s="12" t="s">
        <v>41</v>
      </c>
      <c r="B11" s="12" t="s">
        <v>40</v>
      </c>
      <c r="C11" s="12" t="s">
        <v>42</v>
      </c>
      <c r="D11" s="12" t="s">
        <v>43</v>
      </c>
      <c r="E11" s="12" t="s">
        <v>44</v>
      </c>
      <c r="F11" s="12" t="s">
        <v>30</v>
      </c>
      <c r="G11" s="12">
        <v>5</v>
      </c>
      <c r="H11" s="12" t="s">
        <v>45</v>
      </c>
      <c r="I11" s="13">
        <v>46289</v>
      </c>
      <c r="J11" s="12"/>
      <c r="K11" s="12" t="s">
        <v>46</v>
      </c>
    </row>
    <row r="12" spans="1:11" ht="54" customHeight="1" x14ac:dyDescent="0.55000000000000004">
      <c r="A12" s="12" t="s">
        <v>47</v>
      </c>
      <c r="B12" s="12" t="s">
        <v>40</v>
      </c>
      <c r="C12" s="12" t="s">
        <v>48</v>
      </c>
      <c r="D12" s="12" t="s">
        <v>49</v>
      </c>
      <c r="E12" s="12" t="s">
        <v>50</v>
      </c>
      <c r="F12" s="12" t="s">
        <v>41</v>
      </c>
      <c r="G12" s="12">
        <v>3</v>
      </c>
      <c r="H12" s="12" t="s">
        <v>45</v>
      </c>
      <c r="I12" s="13">
        <v>46289</v>
      </c>
      <c r="J12" s="12"/>
      <c r="K12" s="12" t="s">
        <v>46</v>
      </c>
    </row>
    <row r="13" spans="1:11" ht="54" customHeight="1" x14ac:dyDescent="0.55000000000000004">
      <c r="A13" s="12" t="s">
        <v>51</v>
      </c>
      <c r="B13" s="12" t="s">
        <v>40</v>
      </c>
      <c r="C13" s="12" t="s">
        <v>35</v>
      </c>
      <c r="D13" s="12" t="s">
        <v>52</v>
      </c>
      <c r="E13" s="12" t="s">
        <v>37</v>
      </c>
      <c r="F13" s="12" t="s">
        <v>53</v>
      </c>
      <c r="G13" s="12">
        <v>3</v>
      </c>
      <c r="H13" s="12" t="s">
        <v>45</v>
      </c>
      <c r="I13" s="13">
        <v>46289</v>
      </c>
      <c r="J13" s="12"/>
      <c r="K13" s="12" t="s">
        <v>54</v>
      </c>
    </row>
    <row r="14" spans="1:11" ht="26" customHeight="1" x14ac:dyDescent="0.55000000000000004">
      <c r="A14" s="11" t="s">
        <v>55</v>
      </c>
      <c r="B14" s="11" t="s">
        <v>56</v>
      </c>
      <c r="C14" s="11"/>
      <c r="D14" s="11"/>
      <c r="E14" s="11"/>
      <c r="F14" s="11"/>
      <c r="G14" s="11">
        <v>5.5</v>
      </c>
      <c r="H14" s="11"/>
      <c r="I14" s="11"/>
      <c r="J14" s="11"/>
      <c r="K14" s="11"/>
    </row>
    <row r="15" spans="1:11" ht="36" customHeight="1" x14ac:dyDescent="0.55000000000000004">
      <c r="A15" s="12" t="s">
        <v>57</v>
      </c>
      <c r="B15" s="12" t="s">
        <v>56</v>
      </c>
      <c r="C15" s="12" t="s">
        <v>58</v>
      </c>
      <c r="D15" s="12" t="s">
        <v>59</v>
      </c>
      <c r="E15" s="12" t="s">
        <v>60</v>
      </c>
      <c r="F15" s="12" t="s">
        <v>14</v>
      </c>
      <c r="G15" s="12">
        <v>4</v>
      </c>
      <c r="H15" s="12" t="s">
        <v>45</v>
      </c>
      <c r="I15" s="13">
        <v>46289</v>
      </c>
      <c r="J15" s="12"/>
      <c r="K15" s="12" t="s">
        <v>61</v>
      </c>
    </row>
    <row r="16" spans="1:11" ht="36" customHeight="1" x14ac:dyDescent="0.55000000000000004">
      <c r="A16" s="12" t="s">
        <v>62</v>
      </c>
      <c r="B16" s="12" t="s">
        <v>56</v>
      </c>
      <c r="C16" s="12" t="s">
        <v>35</v>
      </c>
      <c r="D16" s="12" t="s">
        <v>63</v>
      </c>
      <c r="E16" s="12" t="s">
        <v>37</v>
      </c>
      <c r="F16" s="12" t="s">
        <v>57</v>
      </c>
      <c r="G16" s="12">
        <v>1.5</v>
      </c>
      <c r="H16" s="12" t="s">
        <v>45</v>
      </c>
      <c r="I16" s="13">
        <v>46289</v>
      </c>
      <c r="J16" s="12"/>
      <c r="K16" s="12" t="s">
        <v>64</v>
      </c>
    </row>
    <row r="17" spans="1:11" ht="26" customHeight="1" x14ac:dyDescent="0.55000000000000004">
      <c r="A17" s="11" t="s">
        <v>65</v>
      </c>
      <c r="B17" s="11" t="s">
        <v>66</v>
      </c>
      <c r="C17" s="11"/>
      <c r="D17" s="11"/>
      <c r="E17" s="11"/>
      <c r="F17" s="11"/>
      <c r="G17" s="11">
        <v>5.5</v>
      </c>
      <c r="H17" s="11"/>
      <c r="I17" s="11"/>
      <c r="J17" s="11"/>
      <c r="K17" s="11"/>
    </row>
    <row r="18" spans="1:11" ht="54" customHeight="1" x14ac:dyDescent="0.55000000000000004">
      <c r="A18" s="12" t="s">
        <v>67</v>
      </c>
      <c r="B18" s="12" t="s">
        <v>66</v>
      </c>
      <c r="C18" s="12" t="s">
        <v>68</v>
      </c>
      <c r="D18" s="12" t="s">
        <v>69</v>
      </c>
      <c r="E18" s="12" t="s">
        <v>70</v>
      </c>
      <c r="F18" s="12" t="s">
        <v>20</v>
      </c>
      <c r="G18" s="12">
        <v>4</v>
      </c>
      <c r="H18" s="12" t="s">
        <v>45</v>
      </c>
      <c r="I18" s="13">
        <v>46289</v>
      </c>
      <c r="J18" s="12"/>
      <c r="K18" s="12" t="s">
        <v>71</v>
      </c>
    </row>
    <row r="19" spans="1:11" ht="36" customHeight="1" x14ac:dyDescent="0.55000000000000004">
      <c r="A19" s="12" t="s">
        <v>72</v>
      </c>
      <c r="B19" s="12" t="s">
        <v>66</v>
      </c>
      <c r="C19" s="12" t="s">
        <v>35</v>
      </c>
      <c r="D19" s="12" t="s">
        <v>73</v>
      </c>
      <c r="E19" s="12" t="s">
        <v>37</v>
      </c>
      <c r="F19" s="12" t="s">
        <v>67</v>
      </c>
      <c r="G19" s="12">
        <v>1.5</v>
      </c>
      <c r="H19" s="12" t="s">
        <v>45</v>
      </c>
      <c r="I19" s="13">
        <v>46289</v>
      </c>
      <c r="J19" s="12"/>
      <c r="K19" s="12" t="s">
        <v>74</v>
      </c>
    </row>
    <row r="20" spans="1:11" ht="26" customHeight="1" x14ac:dyDescent="0.55000000000000004">
      <c r="A20" s="11" t="s">
        <v>75</v>
      </c>
      <c r="B20" s="11" t="s">
        <v>76</v>
      </c>
      <c r="C20" s="11"/>
      <c r="D20" s="11"/>
      <c r="E20" s="11"/>
      <c r="F20" s="11"/>
      <c r="G20" s="11">
        <v>4</v>
      </c>
      <c r="H20" s="11"/>
      <c r="I20" s="14"/>
      <c r="J20" s="11"/>
      <c r="K20" s="11"/>
    </row>
    <row r="21" spans="1:11" ht="36" customHeight="1" x14ac:dyDescent="0.55000000000000004">
      <c r="A21" s="12" t="s">
        <v>77</v>
      </c>
      <c r="B21" s="12" t="s">
        <v>76</v>
      </c>
      <c r="C21" s="12" t="s">
        <v>78</v>
      </c>
      <c r="D21" s="12" t="s">
        <v>79</v>
      </c>
      <c r="E21" s="12" t="s">
        <v>80</v>
      </c>
      <c r="F21" s="12" t="s">
        <v>14</v>
      </c>
      <c r="G21" s="12">
        <v>3</v>
      </c>
      <c r="H21" s="12" t="s">
        <v>45</v>
      </c>
      <c r="I21" s="13">
        <v>46289</v>
      </c>
      <c r="J21" s="12"/>
      <c r="K21" s="12" t="s">
        <v>81</v>
      </c>
    </row>
    <row r="22" spans="1:11" ht="36" customHeight="1" x14ac:dyDescent="0.55000000000000004">
      <c r="A22" s="12" t="s">
        <v>82</v>
      </c>
      <c r="B22" s="12" t="s">
        <v>76</v>
      </c>
      <c r="C22" s="12" t="s">
        <v>35</v>
      </c>
      <c r="D22" s="12" t="s">
        <v>83</v>
      </c>
      <c r="E22" s="12" t="s">
        <v>37</v>
      </c>
      <c r="F22" s="12" t="s">
        <v>77</v>
      </c>
      <c r="G22" s="12">
        <v>1</v>
      </c>
      <c r="H22" s="12" t="s">
        <v>45</v>
      </c>
      <c r="I22" s="13">
        <v>46289</v>
      </c>
      <c r="J22" s="12"/>
      <c r="K22" s="12" t="s">
        <v>84</v>
      </c>
    </row>
    <row r="23" spans="1:11" ht="26" customHeight="1" x14ac:dyDescent="0.55000000000000004">
      <c r="A23" s="11" t="s">
        <v>85</v>
      </c>
      <c r="B23" s="11" t="s">
        <v>86</v>
      </c>
      <c r="C23" s="11"/>
      <c r="D23" s="11"/>
      <c r="E23" s="11"/>
      <c r="F23" s="11"/>
      <c r="G23" s="11">
        <v>20</v>
      </c>
      <c r="H23" s="11"/>
      <c r="I23" s="11"/>
      <c r="J23" s="11"/>
      <c r="K23" s="11"/>
    </row>
    <row r="24" spans="1:11" ht="54" customHeight="1" x14ac:dyDescent="0.55000000000000004">
      <c r="A24" s="12" t="s">
        <v>87</v>
      </c>
      <c r="B24" s="12" t="s">
        <v>86</v>
      </c>
      <c r="C24" s="12" t="s">
        <v>88</v>
      </c>
      <c r="D24" s="12" t="s">
        <v>89</v>
      </c>
      <c r="E24" s="12" t="s">
        <v>90</v>
      </c>
      <c r="F24" s="12" t="s">
        <v>25</v>
      </c>
      <c r="G24" s="12">
        <v>2</v>
      </c>
      <c r="H24" s="12" t="s">
        <v>91</v>
      </c>
      <c r="I24" s="13">
        <v>46289</v>
      </c>
      <c r="J24" s="12"/>
      <c r="K24" s="12" t="s">
        <v>92</v>
      </c>
    </row>
    <row r="25" spans="1:11" ht="54" customHeight="1" x14ac:dyDescent="0.55000000000000004">
      <c r="A25" s="12" t="s">
        <v>93</v>
      </c>
      <c r="B25" s="12" t="s">
        <v>86</v>
      </c>
      <c r="C25" s="12" t="s">
        <v>94</v>
      </c>
      <c r="D25" s="12" t="s">
        <v>95</v>
      </c>
      <c r="E25" s="12" t="s">
        <v>96</v>
      </c>
      <c r="F25" s="12" t="s">
        <v>25</v>
      </c>
      <c r="G25" s="12">
        <v>5</v>
      </c>
      <c r="H25" s="12" t="s">
        <v>45</v>
      </c>
      <c r="I25" s="13">
        <v>46289</v>
      </c>
      <c r="J25" s="12"/>
      <c r="K25" s="12" t="s">
        <v>97</v>
      </c>
    </row>
    <row r="26" spans="1:11" ht="54" customHeight="1" x14ac:dyDescent="0.55000000000000004">
      <c r="A26" s="12" t="s">
        <v>98</v>
      </c>
      <c r="B26" s="12" t="s">
        <v>86</v>
      </c>
      <c r="C26" s="12" t="s">
        <v>99</v>
      </c>
      <c r="D26" s="12" t="s">
        <v>100</v>
      </c>
      <c r="E26" s="12" t="s">
        <v>101</v>
      </c>
      <c r="F26" s="12" t="s">
        <v>102</v>
      </c>
      <c r="G26" s="12">
        <v>5</v>
      </c>
      <c r="H26" s="12" t="s">
        <v>45</v>
      </c>
      <c r="I26" s="13">
        <v>46289</v>
      </c>
      <c r="J26" s="12"/>
      <c r="K26" s="12" t="s">
        <v>97</v>
      </c>
    </row>
    <row r="27" spans="1:11" ht="54" customHeight="1" x14ac:dyDescent="0.55000000000000004">
      <c r="A27" s="12" t="s">
        <v>103</v>
      </c>
      <c r="B27" s="12" t="s">
        <v>86</v>
      </c>
      <c r="C27" s="12" t="s">
        <v>104</v>
      </c>
      <c r="D27" s="12" t="s">
        <v>105</v>
      </c>
      <c r="E27" s="12" t="s">
        <v>106</v>
      </c>
      <c r="F27" s="12" t="s">
        <v>57</v>
      </c>
      <c r="G27" s="12">
        <v>2</v>
      </c>
      <c r="H27" s="12" t="s">
        <v>45</v>
      </c>
      <c r="I27" s="13">
        <v>46289</v>
      </c>
      <c r="J27" s="12"/>
      <c r="K27" s="12" t="s">
        <v>97</v>
      </c>
    </row>
    <row r="28" spans="1:11" ht="54" customHeight="1" x14ac:dyDescent="0.55000000000000004">
      <c r="A28" s="12" t="s">
        <v>107</v>
      </c>
      <c r="B28" s="12" t="s">
        <v>86</v>
      </c>
      <c r="C28" s="12" t="s">
        <v>108</v>
      </c>
      <c r="D28" s="12" t="s">
        <v>109</v>
      </c>
      <c r="E28" s="12" t="s">
        <v>101</v>
      </c>
      <c r="F28" s="12" t="s">
        <v>67</v>
      </c>
      <c r="G28" s="12">
        <v>3</v>
      </c>
      <c r="H28" s="12" t="s">
        <v>45</v>
      </c>
      <c r="I28" s="13">
        <v>46289</v>
      </c>
      <c r="J28" s="12"/>
      <c r="K28" s="12" t="s">
        <v>97</v>
      </c>
    </row>
    <row r="29" spans="1:11" ht="54" customHeight="1" x14ac:dyDescent="0.55000000000000004">
      <c r="A29" s="12" t="s">
        <v>110</v>
      </c>
      <c r="B29" s="12" t="s">
        <v>86</v>
      </c>
      <c r="C29" s="12" t="s">
        <v>111</v>
      </c>
      <c r="D29" s="12" t="s">
        <v>112</v>
      </c>
      <c r="E29" s="12" t="s">
        <v>113</v>
      </c>
      <c r="F29" s="12" t="s">
        <v>114</v>
      </c>
      <c r="G29" s="12">
        <v>3</v>
      </c>
      <c r="H29" s="12" t="s">
        <v>45</v>
      </c>
      <c r="I29" s="13">
        <v>46289</v>
      </c>
      <c r="J29" s="12"/>
      <c r="K29" s="12" t="s">
        <v>97</v>
      </c>
    </row>
    <row r="30" spans="1:11" ht="26" customHeight="1" x14ac:dyDescent="0.55000000000000004">
      <c r="A30" s="11" t="s">
        <v>115</v>
      </c>
      <c r="B30" s="11" t="s">
        <v>116</v>
      </c>
      <c r="C30" s="11"/>
      <c r="D30" s="11"/>
      <c r="E30" s="11"/>
      <c r="F30" s="11"/>
      <c r="G30" s="11">
        <v>9</v>
      </c>
      <c r="H30" s="11"/>
      <c r="I30" s="11"/>
      <c r="J30" s="11"/>
      <c r="K30" s="11"/>
    </row>
    <row r="31" spans="1:11" ht="36" customHeight="1" x14ac:dyDescent="0.55000000000000004">
      <c r="A31" s="12" t="s">
        <v>117</v>
      </c>
      <c r="B31" s="12" t="s">
        <v>116</v>
      </c>
      <c r="C31" s="12" t="s">
        <v>118</v>
      </c>
      <c r="D31" s="12" t="s">
        <v>119</v>
      </c>
      <c r="E31" s="12" t="s">
        <v>120</v>
      </c>
      <c r="F31" s="12" t="s">
        <v>38</v>
      </c>
      <c r="G31" s="12">
        <v>5</v>
      </c>
      <c r="H31" s="12" t="s">
        <v>45</v>
      </c>
      <c r="I31" s="13">
        <v>46289</v>
      </c>
      <c r="J31" s="12"/>
      <c r="K31" s="12" t="s">
        <v>97</v>
      </c>
    </row>
    <row r="32" spans="1:11" ht="36" customHeight="1" x14ac:dyDescent="0.55000000000000004">
      <c r="A32" s="12" t="s">
        <v>121</v>
      </c>
      <c r="B32" s="12" t="s">
        <v>116</v>
      </c>
      <c r="C32" s="12" t="s">
        <v>122</v>
      </c>
      <c r="D32" s="12" t="s">
        <v>123</v>
      </c>
      <c r="E32" s="12" t="s">
        <v>124</v>
      </c>
      <c r="F32" s="12" t="s">
        <v>77</v>
      </c>
      <c r="G32" s="12">
        <v>4</v>
      </c>
      <c r="H32" s="12" t="s">
        <v>45</v>
      </c>
      <c r="I32" s="13">
        <v>46289</v>
      </c>
      <c r="J32" s="12"/>
      <c r="K32" s="12" t="s">
        <v>97</v>
      </c>
    </row>
    <row r="33" spans="1:11" x14ac:dyDescent="0.55000000000000004">
      <c r="A33" s="11" t="s">
        <v>125</v>
      </c>
      <c r="B33" s="11" t="s">
        <v>126</v>
      </c>
      <c r="C33" s="11"/>
      <c r="D33" s="11"/>
      <c r="E33" s="11"/>
      <c r="F33" s="11"/>
      <c r="G33" s="11">
        <v>7</v>
      </c>
      <c r="H33" s="11"/>
      <c r="I33" s="11"/>
      <c r="J33" s="11"/>
      <c r="K33" s="11"/>
    </row>
    <row r="34" spans="1:11" ht="36" customHeight="1" x14ac:dyDescent="0.55000000000000004">
      <c r="A34" s="12" t="s">
        <v>127</v>
      </c>
      <c r="B34" s="12" t="s">
        <v>126</v>
      </c>
      <c r="C34" s="12" t="s">
        <v>128</v>
      </c>
      <c r="D34" s="12" t="s">
        <v>129</v>
      </c>
      <c r="E34" s="12" t="s">
        <v>37</v>
      </c>
      <c r="F34" s="12" t="s">
        <v>130</v>
      </c>
      <c r="G34" s="12">
        <v>3</v>
      </c>
      <c r="H34" s="12" t="s">
        <v>131</v>
      </c>
      <c r="I34" s="12"/>
      <c r="J34" s="12"/>
      <c r="K34" s="12"/>
    </row>
    <row r="35" spans="1:11" ht="36" customHeight="1" x14ac:dyDescent="0.55000000000000004">
      <c r="A35" s="12" t="s">
        <v>132</v>
      </c>
      <c r="B35" s="12" t="s">
        <v>126</v>
      </c>
      <c r="C35" s="12" t="s">
        <v>133</v>
      </c>
      <c r="D35" s="12" t="s">
        <v>134</v>
      </c>
      <c r="E35" s="12" t="s">
        <v>135</v>
      </c>
      <c r="F35" s="12" t="s">
        <v>127</v>
      </c>
      <c r="G35" s="12">
        <v>2</v>
      </c>
      <c r="H35" s="12" t="s">
        <v>131</v>
      </c>
      <c r="I35" s="12"/>
      <c r="J35" s="12"/>
      <c r="K35" s="12"/>
    </row>
    <row r="36" spans="1:11" x14ac:dyDescent="0.55000000000000004">
      <c r="A36" s="12" t="s">
        <v>136</v>
      </c>
      <c r="B36" s="12" t="s">
        <v>126</v>
      </c>
      <c r="C36" s="12" t="s">
        <v>137</v>
      </c>
      <c r="D36" s="12" t="s">
        <v>138</v>
      </c>
      <c r="E36" s="12" t="s">
        <v>139</v>
      </c>
      <c r="F36" s="12" t="s">
        <v>132</v>
      </c>
      <c r="G36" s="12">
        <v>2</v>
      </c>
      <c r="H36" s="12" t="s">
        <v>131</v>
      </c>
      <c r="I36" s="12"/>
      <c r="J36" s="12"/>
      <c r="K36" s="12"/>
    </row>
    <row r="37" spans="1:11" x14ac:dyDescent="0.55000000000000004">
      <c r="A37" s="11" t="s">
        <v>140</v>
      </c>
      <c r="B37" s="11" t="s">
        <v>141</v>
      </c>
      <c r="C37" s="11"/>
      <c r="D37" s="11"/>
      <c r="E37" s="11"/>
      <c r="F37" s="11"/>
      <c r="G37" s="11">
        <v>10</v>
      </c>
      <c r="H37" s="11"/>
      <c r="I37" s="11"/>
      <c r="J37" s="11"/>
      <c r="K37" s="11"/>
    </row>
    <row r="38" spans="1:11" x14ac:dyDescent="0.55000000000000004">
      <c r="A38" s="12" t="s">
        <v>142</v>
      </c>
      <c r="B38" s="12" t="s">
        <v>141</v>
      </c>
      <c r="C38" s="12" t="s">
        <v>143</v>
      </c>
      <c r="D38" s="12" t="s">
        <v>144</v>
      </c>
      <c r="E38" s="12" t="s">
        <v>145</v>
      </c>
      <c r="F38" s="12" t="s">
        <v>125</v>
      </c>
      <c r="G38" s="12">
        <v>4</v>
      </c>
      <c r="H38" s="12" t="s">
        <v>131</v>
      </c>
      <c r="I38" s="12"/>
      <c r="J38" s="12"/>
      <c r="K38" s="12"/>
    </row>
    <row r="39" spans="1:11" ht="36" customHeight="1" x14ac:dyDescent="0.55000000000000004">
      <c r="A39" s="12" t="s">
        <v>146</v>
      </c>
      <c r="B39" s="12" t="s">
        <v>141</v>
      </c>
      <c r="C39" s="12" t="s">
        <v>147</v>
      </c>
      <c r="D39" s="12" t="s">
        <v>148</v>
      </c>
      <c r="E39" s="12" t="s">
        <v>149</v>
      </c>
      <c r="F39" s="12" t="s">
        <v>125</v>
      </c>
      <c r="G39" s="12">
        <v>2</v>
      </c>
      <c r="H39" s="12" t="s">
        <v>131</v>
      </c>
      <c r="I39" s="12"/>
      <c r="J39" s="12"/>
      <c r="K39" s="12"/>
    </row>
    <row r="40" spans="1:11" x14ac:dyDescent="0.55000000000000004">
      <c r="A40" s="12" t="s">
        <v>150</v>
      </c>
      <c r="B40" s="12" t="s">
        <v>141</v>
      </c>
      <c r="C40" s="12" t="s">
        <v>151</v>
      </c>
      <c r="D40" s="12" t="s">
        <v>152</v>
      </c>
      <c r="E40" s="12" t="s">
        <v>153</v>
      </c>
      <c r="F40" s="12" t="s">
        <v>154</v>
      </c>
      <c r="G40" s="12">
        <v>1</v>
      </c>
      <c r="H40" s="12" t="s">
        <v>131</v>
      </c>
      <c r="I40" s="12"/>
      <c r="J40" s="12"/>
      <c r="K40" s="12"/>
    </row>
    <row r="41" spans="1:11" x14ac:dyDescent="0.55000000000000004">
      <c r="A41" s="12" t="s">
        <v>155</v>
      </c>
      <c r="B41" s="12" t="s">
        <v>141</v>
      </c>
      <c r="C41" s="12" t="s">
        <v>156</v>
      </c>
      <c r="D41" s="12" t="s">
        <v>157</v>
      </c>
      <c r="E41" s="12" t="s">
        <v>158</v>
      </c>
      <c r="F41" s="12" t="s">
        <v>150</v>
      </c>
      <c r="G41" s="12">
        <v>1</v>
      </c>
      <c r="H41" s="12" t="s">
        <v>131</v>
      </c>
      <c r="I41" s="12"/>
      <c r="J41" s="12"/>
      <c r="K41" s="12"/>
    </row>
    <row r="42" spans="1:11" ht="36" customHeight="1" x14ac:dyDescent="0.55000000000000004">
      <c r="A42" s="12" t="s">
        <v>159</v>
      </c>
      <c r="B42" s="12" t="s">
        <v>141</v>
      </c>
      <c r="C42" s="12" t="s">
        <v>160</v>
      </c>
      <c r="D42" s="12" t="s">
        <v>161</v>
      </c>
      <c r="E42" s="12" t="s">
        <v>162</v>
      </c>
      <c r="F42" s="12" t="s">
        <v>155</v>
      </c>
      <c r="G42" s="12">
        <v>2</v>
      </c>
      <c r="H42" s="12" t="s">
        <v>131</v>
      </c>
      <c r="I42" s="12"/>
      <c r="J42" s="12"/>
      <c r="K42" s="12"/>
    </row>
    <row r="43" spans="1:11" ht="26" x14ac:dyDescent="0.55000000000000004">
      <c r="A43" s="11" t="s">
        <v>163</v>
      </c>
      <c r="B43" s="11" t="s">
        <v>164</v>
      </c>
      <c r="C43" s="11"/>
      <c r="D43" s="11"/>
      <c r="E43" s="11"/>
      <c r="F43" s="11"/>
      <c r="G43" s="11">
        <v>8</v>
      </c>
      <c r="H43" s="11"/>
      <c r="I43" s="11"/>
      <c r="J43" s="11"/>
      <c r="K43" s="11"/>
    </row>
    <row r="44" spans="1:11" ht="126" x14ac:dyDescent="0.55000000000000004">
      <c r="A44" s="12" t="s">
        <v>165</v>
      </c>
      <c r="B44" s="12" t="s">
        <v>164</v>
      </c>
      <c r="C44" s="12" t="s">
        <v>166</v>
      </c>
      <c r="D44" s="12" t="s">
        <v>167</v>
      </c>
      <c r="E44" s="12" t="s">
        <v>168</v>
      </c>
      <c r="F44" s="12" t="s">
        <v>18</v>
      </c>
      <c r="G44" s="12">
        <v>3</v>
      </c>
      <c r="H44" s="12" t="s">
        <v>45</v>
      </c>
      <c r="I44" s="16">
        <v>46289</v>
      </c>
      <c r="J44" s="15"/>
      <c r="K44" s="12" t="s">
        <v>169</v>
      </c>
    </row>
    <row r="45" spans="1:11" ht="72" x14ac:dyDescent="0.55000000000000004">
      <c r="A45" s="12" t="s">
        <v>170</v>
      </c>
      <c r="B45" s="12" t="s">
        <v>164</v>
      </c>
      <c r="C45" s="12" t="s">
        <v>171</v>
      </c>
      <c r="D45" s="12" t="s">
        <v>172</v>
      </c>
      <c r="E45" s="12" t="s">
        <v>173</v>
      </c>
      <c r="F45" s="12" t="s">
        <v>165</v>
      </c>
      <c r="G45" s="12">
        <v>5</v>
      </c>
      <c r="H45" s="12" t="s">
        <v>45</v>
      </c>
      <c r="I45" s="16">
        <v>46289</v>
      </c>
      <c r="J45" s="15"/>
      <c r="K45" s="12" t="s">
        <v>174</v>
      </c>
    </row>
    <row r="46" spans="1:11" x14ac:dyDescent="0.55000000000000004">
      <c r="C46" t="s">
        <v>175</v>
      </c>
      <c r="G46">
        <f>SUMPRODUCT((ISNUMBER(SEARCH("-",A4:A45)))*G4:G45)</f>
        <v>95</v>
      </c>
    </row>
  </sheetData>
  <phoneticPr fontId="1"/>
  <conditionalFormatting sqref="A3:K42">
    <cfRule type="expression" dxfId="15" priority="17">
      <formula>$H3="未着手"</formula>
    </cfRule>
    <cfRule type="expression" dxfId="14" priority="18">
      <formula>$H3="着手中"</formula>
    </cfRule>
    <cfRule type="expression" dxfId="13" priority="19">
      <formula>$H3="完了"</formula>
    </cfRule>
    <cfRule type="expression" dxfId="12" priority="20">
      <formula>$H3="修正中"</formula>
    </cfRule>
  </conditionalFormatting>
  <conditionalFormatting sqref="H3:H42">
    <cfRule type="expression" dxfId="11" priority="21">
      <formula>$H3="未着手"</formula>
    </cfRule>
    <cfRule type="expression" dxfId="10" priority="22">
      <formula>$H3="着手中"</formula>
    </cfRule>
    <cfRule type="expression" dxfId="9" priority="23">
      <formula>$H3="完了"</formula>
    </cfRule>
    <cfRule type="expression" dxfId="8" priority="24">
      <formula>$H3="修正中"</formula>
    </cfRule>
  </conditionalFormatting>
  <conditionalFormatting sqref="H44:H45">
    <cfRule type="expression" dxfId="7" priority="1">
      <formula>$H44="未着手"</formula>
    </cfRule>
    <cfRule type="expression" dxfId="6" priority="2">
      <formula>$H44="着手中"</formula>
    </cfRule>
    <cfRule type="expression" dxfId="5" priority="3">
      <formula>$H44="完了"</formula>
    </cfRule>
    <cfRule type="expression" dxfId="4" priority="4">
      <formula>$H44="修正中"</formula>
    </cfRule>
    <cfRule type="expression" dxfId="3" priority="5">
      <formula>$H44="未着手"</formula>
    </cfRule>
    <cfRule type="expression" dxfId="2" priority="6">
      <formula>$H44="着手中"</formula>
    </cfRule>
    <cfRule type="expression" dxfId="1" priority="7">
      <formula>$H44="完了"</formula>
    </cfRule>
    <cfRule type="expression" dxfId="0" priority="8">
      <formula>$H44="修正中"</formula>
    </cfRule>
  </conditionalFormatting>
  <dataValidations count="1">
    <dataValidation type="list" allowBlank="1" showErrorMessage="1" sqref="H3:H42 H44:H45" xr:uid="{00000000-0002-0000-02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</vt:lpstr>
      <vt:lpstr>フェーズ別WBS</vt:lpstr>
      <vt:lpstr>模擬プロジェクト_WBS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2026-09-24T09:04:01Z</dcterms:modified>
</cp:coreProperties>
</file>