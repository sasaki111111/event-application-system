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工程管理WBS" sheetId="2" state="visible" r:id="rId2"/>
    <sheet xmlns:r="http://schemas.openxmlformats.org/officeDocument/2006/relationships" name="フェーズ別WBS" sheetId="3" state="visible" r:id="rId3"/>
    <sheet xmlns:r="http://schemas.openxmlformats.org/officeDocument/2006/relationships" name="模擬プロジェクト_WBS" sheetId="4" state="visible" r:id="rId4"/>
  </sheets>
  <definedNames>
    <definedName name="_xlnm._FilterDatabase" localSheetId="1" hidden="1">'工程管理WBS'!$A$2:$G$10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\-mm\-dd\ h:mm:ss"/>
  </numFmts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sz val="13"/>
    </font>
    <font>
      <name val="游ゴシック"/>
      <charset val="128"/>
      <family val="3"/>
      <b val="1"/>
      <color rgb="FFFFFFFF"/>
      <sz val="11"/>
    </font>
    <font>
      <name val="游ゴシック"/>
      <charset val="128"/>
      <family val="3"/>
      <b val="1"/>
      <sz val="11"/>
    </font>
    <font>
      <name val="ＭＳ Ｐゴシック"/>
      <charset val="128"/>
      <family val="3"/>
      <b val="1"/>
      <sz val="13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b val="1"/>
      <sz val="11"/>
    </font>
    <font>
      <name val="游ゴシック"/>
      <b val="1"/>
      <sz val="13"/>
    </font>
    <font>
      <name val="游ゴシック"/>
      <b val="1"/>
      <color rgb="FFFFFFFF"/>
      <sz val="11"/>
    </font>
    <font>
      <name val="游ゴシック"/>
      <sz val="11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7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2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top" wrapText="1"/>
    </xf>
    <xf numFmtId="164" fontId="10" fillId="0" borderId="2" applyAlignment="1" pivotButton="0" quotePrefix="0" xfId="0">
      <alignment horizontal="center" vertical="center"/>
    </xf>
    <xf numFmtId="164" fontId="0" fillId="0" borderId="0" applyAlignment="1" pivotButton="0" quotePrefix="0" xfId="0">
      <alignment vertical="top" wrapText="1"/>
    </xf>
    <xf numFmtId="164" fontId="7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9" fillId="4" borderId="2" applyAlignment="1" pivotButton="0" quotePrefix="0" xfId="0">
      <alignment horizontal="center" vertical="center"/>
    </xf>
  </cellXfs>
  <cellStyles count="1">
    <cellStyle name="標準" xfId="0" builtinId="0"/>
  </cellStyles>
  <dxfs count="48">
    <dxf>
      <font>
        <b val="1"/>
        <color rgb="FFFFFFFF"/>
      </font>
      <fill>
        <patternFill patternType="solid">
          <fgColor rgb="FFFF7043"/>
          <bgColor rgb="FFFF7043"/>
        </patternFill>
      </fill>
    </dxf>
    <dxf>
      <font>
        <b val="1"/>
        <color rgb="FF7F7F7F"/>
      </font>
      <fill>
        <patternFill patternType="solid">
          <fgColor rgb="FFBFBFBF"/>
          <bgColor rgb="FFBFBFBF"/>
        </patternFill>
      </fill>
    </dxf>
    <dxf>
      <font>
        <b val="1"/>
        <color rgb="FF000000"/>
      </font>
      <fill>
        <patternFill patternType="solid">
          <fgColor rgb="FFFFE066"/>
          <bgColor rgb="FFFFE066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BE0D5"/>
          <bgColor rgb="FFFBE0D5"/>
        </patternFill>
      </fill>
    </dxf>
    <dxf>
      <font>
        <color rgb="FF808080"/>
      </font>
      <fill>
        <patternFill patternType="solid">
          <fgColor rgb="FFE4E4E4"/>
          <bgColor rgb="FFE4E4E4"/>
        </patternFill>
      </fill>
    </dxf>
    <dxf>
      <font>
        <color rgb="FF000000"/>
      </font>
      <fill>
        <patternFill patternType="solid">
          <fgColor rgb="FFFFF7DB"/>
          <bgColor rgb="FFFFF7DB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FFFFFF"/>
      </font>
      <fill>
        <patternFill patternType="solid">
          <fgColor rgb="FFFF7043"/>
          <bgColor rgb="FFFF7043"/>
        </patternFill>
      </fill>
    </dxf>
    <dxf>
      <font>
        <b val="1"/>
        <color rgb="FF7F7F7F"/>
      </font>
      <fill>
        <patternFill patternType="solid">
          <fgColor rgb="FFBFBFBF"/>
          <bgColor rgb="FFBFBFBF"/>
        </patternFill>
      </fill>
    </dxf>
    <dxf>
      <font>
        <b val="1"/>
        <color rgb="FF000000"/>
      </font>
      <fill>
        <patternFill patternType="solid">
          <fgColor rgb="FFFFE066"/>
          <bgColor rgb="FFFFE066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BE0D5"/>
          <bgColor rgb="FFFBE0D5"/>
        </patternFill>
      </fill>
    </dxf>
    <dxf>
      <font>
        <color rgb="FF808080"/>
      </font>
      <fill>
        <patternFill patternType="solid">
          <fgColor rgb="FFE4E4E4"/>
          <bgColor rgb="FFE4E4E4"/>
        </patternFill>
      </fill>
    </dxf>
    <dxf>
      <font>
        <color rgb="FF000000"/>
      </font>
      <fill>
        <patternFill patternType="solid">
          <fgColor rgb="FFFFF7DB"/>
          <bgColor rgb="FFFFF7DB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FFFFFF"/>
      </font>
      <fill>
        <patternFill patternType="solid">
          <fgColor rgb="FFFF7043"/>
          <bgColor rgb="FFFF7043"/>
        </patternFill>
      </fill>
    </dxf>
    <dxf>
      <font>
        <b val="1"/>
        <color rgb="FF7F7F7F"/>
      </font>
      <fill>
        <patternFill patternType="solid">
          <fgColor rgb="FFBFBFBF"/>
          <bgColor rgb="FFBFBFBF"/>
        </patternFill>
      </fill>
    </dxf>
    <dxf>
      <font>
        <b val="1"/>
        <color rgb="FF000000"/>
      </font>
      <fill>
        <patternFill patternType="solid">
          <fgColor rgb="FFFFE066"/>
          <bgColor rgb="FFFFE066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BE0D5"/>
          <bgColor rgb="FFFBE0D5"/>
        </patternFill>
      </fill>
    </dxf>
    <dxf>
      <font>
        <color rgb="FF808080"/>
      </font>
      <fill>
        <patternFill patternType="solid">
          <fgColor rgb="FFE4E4E4"/>
          <bgColor rgb="FFE4E4E4"/>
        </patternFill>
      </fill>
    </dxf>
    <dxf>
      <font>
        <color rgb="FF000000"/>
      </font>
      <fill>
        <patternFill patternType="solid">
          <fgColor rgb="FFFFF7DB"/>
          <bgColor rgb="FFFFF7DB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FFFFFF"/>
      </font>
      <fill>
        <patternFill patternType="solid">
          <fgColor rgb="FFFF7043"/>
          <bgColor rgb="FFFF7043"/>
        </patternFill>
      </fill>
    </dxf>
    <dxf>
      <font>
        <b val="1"/>
        <color rgb="FF7F7F7F"/>
      </font>
      <fill>
        <patternFill patternType="solid">
          <fgColor rgb="FFBFBFBF"/>
          <bgColor rgb="FFBFBFBF"/>
        </patternFill>
      </fill>
    </dxf>
    <dxf>
      <font>
        <b val="1"/>
        <color rgb="FF000000"/>
      </font>
      <fill>
        <patternFill patternType="solid">
          <fgColor rgb="FFFFE066"/>
          <bgColor rgb="FFFFE066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BE0D5"/>
          <bgColor rgb="FFFBE0D5"/>
        </patternFill>
      </fill>
    </dxf>
    <dxf>
      <font>
        <color rgb="FF808080"/>
      </font>
      <fill>
        <patternFill patternType="solid">
          <fgColor rgb="FFE4E4E4"/>
          <bgColor rgb="FFE4E4E4"/>
        </patternFill>
      </fill>
    </dxf>
    <dxf>
      <font>
        <color rgb="FF000000"/>
      </font>
      <fill>
        <patternFill patternType="solid">
          <fgColor rgb="FFFFF7DB"/>
          <bgColor rgb="FFFFF7DB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name val="游ゴシック"/>
        <color rgb="FF404040"/>
        <sz val="11"/>
      </font>
      <fill>
        <patternFill patternType="solid">
          <fgColor rgb="FFF2F2F2"/>
        </patternFill>
      </fill>
    </dxf>
    <dxf>
      <font>
        <name val="游ゴシック"/>
        <color rgb="FF000000"/>
        <sz val="11"/>
      </font>
      <fill>
        <patternFill patternType="solid">
          <fgColor rgb="FFFFF2CC"/>
        </patternFill>
      </fill>
    </dxf>
    <dxf>
      <font>
        <name val="游ゴシック"/>
        <color rgb="FF000000"/>
        <sz val="11"/>
      </font>
      <fill>
        <patternFill patternType="solid">
          <fgColor rgb="FFFCE4D6"/>
        </patternFill>
      </fill>
    </dxf>
    <dxf>
      <font>
        <name val="游ゴシック"/>
        <color rgb="FF808080"/>
        <sz val="11"/>
      </font>
      <fill>
        <patternFill patternType="solid">
          <fgColor rgb="FFE2EFDA"/>
        </patternFill>
      </fill>
    </dxf>
    <dxf>
      <font>
        <name val="游ゴシック"/>
        <b val="1"/>
        <color rgb="FFFFFFFF"/>
        <sz val="11"/>
      </font>
      <fill>
        <patternFill patternType="solid">
          <fgColor rgb="FFBFBFBF"/>
        </patternFill>
      </fill>
    </dxf>
    <dxf>
      <font>
        <name val="游ゴシック"/>
        <b val="1"/>
        <color rgb="FF000000"/>
        <sz val="11"/>
      </font>
      <fill>
        <patternFill patternType="solid">
          <fgColor rgb="FFFFC000"/>
        </patternFill>
      </fill>
    </dxf>
    <dxf>
      <font>
        <name val="游ゴシック"/>
        <b val="1"/>
        <color rgb="FFFFFFFF"/>
        <sz val="11"/>
      </font>
      <fill>
        <patternFill patternType="solid">
          <fgColor rgb="FFED7D31"/>
        </patternFill>
      </fill>
    </dxf>
    <dxf>
      <font>
        <name val="游ゴシック"/>
        <b val="1"/>
        <color rgb="FFFFFFFF"/>
        <sz val="11"/>
      </font>
      <fill>
        <patternFill patternType="solid">
          <fgColor rgb="FF70AD47"/>
        </patternFill>
      </fill>
    </dxf>
    <dxf>
      <font>
        <name val="游ゴシック"/>
        <color rgb="FF404040"/>
        <sz val="11"/>
      </font>
      <fill>
        <patternFill patternType="solid">
          <fgColor rgb="FFF2F2F2"/>
          <bgColor rgb="FFF2F2F2"/>
        </patternFill>
      </fill>
    </dxf>
    <dxf>
      <font>
        <name val="游ゴシック"/>
        <color rgb="FF000000"/>
        <sz val="11"/>
      </font>
      <fill>
        <patternFill patternType="solid">
          <fgColor rgb="FFFFF2CC"/>
          <bgColor rgb="FFFFF2CC"/>
        </patternFill>
      </fill>
    </dxf>
    <dxf>
      <font>
        <name val="游ゴシック"/>
        <color rgb="FF000000"/>
        <sz val="11"/>
      </font>
      <fill>
        <patternFill patternType="solid">
          <fgColor rgb="FFFCE4D6"/>
          <bgColor rgb="FFFCE4D6"/>
        </patternFill>
      </fill>
    </dxf>
    <dxf>
      <font>
        <name val="游ゴシック"/>
        <color rgb="FF808080"/>
        <sz val="11"/>
      </font>
      <fill>
        <patternFill patternType="solid">
          <fgColor rgb="FFE2EFDA"/>
          <bgColor rgb="FFE2EFDA"/>
        </patternFill>
      </fill>
    </dxf>
    <dxf>
      <font>
        <name val="游ゴシック"/>
        <b val="1"/>
        <color rgb="FFFFFFFF"/>
        <sz val="11"/>
      </font>
      <fill>
        <patternFill patternType="solid">
          <fgColor rgb="FFBFBFBF"/>
          <bgColor rgb="FFBFBFBF"/>
        </patternFill>
      </fill>
    </dxf>
    <dxf>
      <font>
        <name val="游ゴシック"/>
        <b val="1"/>
        <color rgb="FF000000"/>
        <sz val="11"/>
      </font>
      <fill>
        <patternFill patternType="solid">
          <fgColor rgb="FFFFC000"/>
          <bgColor rgb="FFFFC000"/>
        </patternFill>
      </fill>
    </dxf>
    <dxf>
      <font>
        <name val="游ゴシック"/>
        <b val="1"/>
        <color rgb="FFFFFFFF"/>
        <sz val="11"/>
      </font>
      <fill>
        <patternFill patternType="solid">
          <fgColor rgb="FFED7D31"/>
          <bgColor rgb="FFED7D31"/>
        </patternFill>
      </fill>
    </dxf>
    <dxf>
      <font>
        <name val="游ゴシック"/>
        <b val="1"/>
        <color rgb="FFFFFFFF"/>
        <sz val="11"/>
      </font>
      <fill>
        <patternFill patternType="solid">
          <fgColor rgb="FF70AD47"/>
          <bgColor rgb="FF70AD4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2" ySplit="2" topLeftCell="C7" activePane="bottomRight" state="frozen"/>
      <selection pane="topRight" activeCell="A1" sqref="A1"/>
      <selection pane="bottomLeft" activeCell="A1" sqref="A1"/>
      <selection pane="bottomRight" activeCell="I13" sqref="I13"/>
    </sheetView>
  </sheetViews>
  <sheetFormatPr baseColWidth="8" defaultRowHeight="18"/>
  <cols>
    <col width="6" customWidth="1" style="1" min="1" max="1"/>
    <col width="20" customWidth="1" style="1" min="2" max="2"/>
    <col width="46" customWidth="1" style="1" min="3" max="3"/>
    <col width="30" customWidth="1" style="1" min="4" max="4"/>
    <col width="8" customWidth="1" style="1" min="5" max="5"/>
    <col width="11" customWidth="1" style="1" min="6" max="6"/>
    <col width="10" customWidth="1" style="1" min="7" max="8"/>
    <col width="12" customWidth="1" style="1" min="9" max="10"/>
    <col width="30" customWidth="1" style="1" min="11" max="11"/>
  </cols>
  <sheetData>
    <row r="1" ht="21.5" customHeight="1" s="1">
      <c r="A1" s="2" t="inlineStr">
        <is>
          <t>チーム開発演習 大枠WBS（1人用・イベント申込システム）</t>
        </is>
      </c>
    </row>
    <row r="2">
      <c r="A2" s="3" t="inlineStr">
        <is>
          <t>No</t>
        </is>
      </c>
      <c r="B2" s="3" t="inlineStr">
        <is>
          <t>フェーズ</t>
        </is>
      </c>
      <c r="C2" s="3" t="inlineStr">
        <is>
          <t>主な作業内容</t>
        </is>
      </c>
      <c r="D2" s="3" t="inlineStr">
        <is>
          <t>主な成果物</t>
        </is>
      </c>
      <c r="E2" s="3" t="inlineStr">
        <is>
          <t>先行</t>
        </is>
      </c>
      <c r="F2" s="3" t="inlineStr">
        <is>
          <t>目安工数(h)</t>
        </is>
      </c>
      <c r="G2" s="3" t="inlineStr">
        <is>
          <t>目安日数</t>
        </is>
      </c>
      <c r="H2" s="3" t="inlineStr">
        <is>
          <t>状態</t>
        </is>
      </c>
      <c r="I2" s="3" t="inlineStr">
        <is>
          <t>開始日</t>
        </is>
      </c>
      <c r="J2" s="3" t="inlineStr">
        <is>
          <t>完了日</t>
        </is>
      </c>
      <c r="K2" s="3" t="inlineStr">
        <is>
          <t>備考・メモ</t>
        </is>
      </c>
    </row>
    <row r="3" ht="36" customHeight="1" s="1">
      <c r="A3" s="4" t="inlineStr">
        <is>
          <t>A</t>
        </is>
      </c>
      <c r="B3" s="4" t="inlineStr">
        <is>
          <t>要件・設計</t>
        </is>
      </c>
      <c r="C3" s="4" t="inlineStr">
        <is>
          <t>テーマ/シナリオ確定、画面遷移図、API一覧、ER図・テーブル定義、業務ロジック仕様</t>
        </is>
      </c>
      <c r="D3" s="4" t="inlineStr">
        <is>
          <t>画面遷移図／API設計書／ER図／DDL草案</t>
        </is>
      </c>
      <c r="E3" s="4" t="inlineStr">
        <is>
          <t>―</t>
        </is>
      </c>
      <c r="F3" s="4" t="n">
        <v>9</v>
      </c>
      <c r="G3" s="4" t="n">
        <v>1</v>
      </c>
      <c r="H3" s="5" t="inlineStr">
        <is>
          <t>完了</t>
        </is>
      </c>
      <c r="I3" s="17" t="n">
        <v>46275</v>
      </c>
      <c r="J3" s="17" t="n">
        <v>46276</v>
      </c>
      <c r="K3" s="4" t="n"/>
    </row>
    <row r="4" ht="54" customHeight="1" s="1">
      <c r="A4" s="4" t="inlineStr">
        <is>
          <t>B</t>
        </is>
      </c>
      <c r="B4" s="4" t="inlineStr">
        <is>
          <t>環境構築・共通基盤</t>
        </is>
      </c>
      <c r="C4" s="4" t="inlineStr">
        <is>
          <t>GitHubリポジトリ＋Issue/PR運用、Angular・Spring Boot雛形、MySQL接続、ダミー認証・共通エラーハンドリング・Validation土台</t>
        </is>
      </c>
      <c r="D4" s="4" t="inlineStr">
        <is>
          <t>動くスケルトン一式</t>
        </is>
      </c>
      <c r="E4" s="4" t="inlineStr">
        <is>
          <t>A</t>
        </is>
      </c>
      <c r="F4" s="4" t="n">
        <v>6</v>
      </c>
      <c r="G4" s="4" t="n">
        <v>0.5</v>
      </c>
      <c r="H4" s="5" t="inlineStr">
        <is>
          <t>完了</t>
        </is>
      </c>
      <c r="I4" s="17" t="n">
        <v>46276</v>
      </c>
      <c r="J4" s="17" t="n">
        <v>46276</v>
      </c>
      <c r="K4" s="4" t="n"/>
    </row>
    <row r="5" ht="54" customHeight="1" s="1">
      <c r="A5" s="4" t="inlineStr">
        <is>
          <t>C</t>
        </is>
      </c>
      <c r="B5" s="4" t="inlineStr">
        <is>
          <t>DB構築</t>
        </is>
      </c>
      <c r="C5" s="4" t="inlineStr">
        <is>
          <t>DDL適用（users／events／applications）、初期データ投入（ロール2種・ダミーユーザー・サンプルイベント）</t>
        </is>
      </c>
      <c r="D5" s="4" t="inlineStr">
        <is>
          <t>構築済みDB／seedスクリプト</t>
        </is>
      </c>
      <c r="E5" s="4" t="inlineStr">
        <is>
          <t>A,B</t>
        </is>
      </c>
      <c r="F5" s="4" t="n">
        <v>3</v>
      </c>
      <c r="G5" s="4" t="n">
        <v>0.5</v>
      </c>
      <c r="H5" s="5" t="inlineStr">
        <is>
          <t>完了</t>
        </is>
      </c>
      <c r="I5" s="17" t="n">
        <v>46276</v>
      </c>
      <c r="J5" s="17" t="n">
        <v>46276</v>
      </c>
      <c r="K5" s="4" t="n"/>
    </row>
    <row r="6" ht="36" customHeight="1" s="1">
      <c r="A6" s="4" t="inlineStr">
        <is>
          <t>D</t>
        </is>
      </c>
      <c r="B6" s="4" t="inlineStr">
        <is>
          <t>バックエンド実装（API）</t>
        </is>
      </c>
      <c r="C6" s="4" t="inlineStr">
        <is>
          <t>イベント系・申込系・集計（CSV）API、業務ロジック（定員超過／締切・日付）</t>
        </is>
      </c>
      <c r="D6" s="4" t="inlineStr">
        <is>
          <t>REST API 8本＋α／Service層ロジック</t>
        </is>
      </c>
      <c r="E6" s="4" t="inlineStr">
        <is>
          <t>C</t>
        </is>
      </c>
      <c r="F6" s="4" t="n">
        <v>23</v>
      </c>
      <c r="G6" s="4" t="n">
        <v>1.5</v>
      </c>
      <c r="H6" s="5" t="inlineStr">
        <is>
          <t>完了</t>
        </is>
      </c>
      <c r="I6" s="17" t="n">
        <v>46276</v>
      </c>
      <c r="J6" s="17" t="n">
        <v>46279</v>
      </c>
      <c r="K6" s="4" t="n"/>
    </row>
    <row r="7" ht="36" customHeight="1" s="1">
      <c r="A7" s="4" t="inlineStr">
        <is>
          <t>E</t>
        </is>
      </c>
      <c r="B7" s="4" t="inlineStr">
        <is>
          <t>フロントエンド実装（画面）</t>
        </is>
      </c>
      <c r="C7" s="4" t="inlineStr">
        <is>
          <t>共通ルーティング／レイアウト／APIサービス、SC-01〜05、ロール分岐</t>
        </is>
      </c>
      <c r="D7" s="4" t="inlineStr">
        <is>
          <t>Angular SPA（Angular Routerによる画面遷移）</t>
        </is>
      </c>
      <c r="E7" s="4" t="inlineStr">
        <is>
          <t>D</t>
        </is>
      </c>
      <c r="F7" s="4" t="n">
        <v>23</v>
      </c>
      <c r="G7" s="4" t="n">
        <v>1.5</v>
      </c>
      <c r="H7" s="5" t="inlineStr">
        <is>
          <t>完了</t>
        </is>
      </c>
      <c r="I7" s="17" t="n">
        <v>46276</v>
      </c>
      <c r="J7" s="17" t="n">
        <v>46279</v>
      </c>
      <c r="K7" s="4" t="n"/>
    </row>
    <row r="8" ht="36" customHeight="1" s="1">
      <c r="A8" s="4" t="inlineStr">
        <is>
          <t>F</t>
        </is>
      </c>
      <c r="B8" s="4" t="inlineStr">
        <is>
          <t>結合・動作確認</t>
        </is>
      </c>
      <c r="C8" s="4" t="inlineStr">
        <is>
          <t>画面→API→DB通し確認、SPA遷移確認、業務シナリオ4本の手動実行</t>
        </is>
      </c>
      <c r="D8" s="4" t="inlineStr">
        <is>
          <t>動作確認記録</t>
        </is>
      </c>
      <c r="E8" s="4" t="inlineStr">
        <is>
          <t>E</t>
        </is>
      </c>
      <c r="F8" s="4" t="n">
        <v>3</v>
      </c>
      <c r="G8" s="4" t="n">
        <v>0.5</v>
      </c>
      <c r="H8" s="5" t="inlineStr">
        <is>
          <t>完了</t>
        </is>
      </c>
      <c r="I8" s="17" t="n">
        <v>46280</v>
      </c>
      <c r="J8" s="17" t="n">
        <v>46280</v>
      </c>
      <c r="K8" s="4" t="n"/>
    </row>
    <row r="9" ht="36" customHeight="1" s="1">
      <c r="A9" s="4" t="inlineStr">
        <is>
          <t>G</t>
        </is>
      </c>
      <c r="B9" s="4" t="inlineStr">
        <is>
          <t>テスト</t>
        </is>
      </c>
      <c r="C9" s="4" t="inlineStr">
        <is>
          <t>UT（最低4ケース）、API/DB結合テスト（8本中5本以上）、STシナリオ2本、バグチケット1件</t>
        </is>
      </c>
      <c r="D9" s="4" t="inlineStr">
        <is>
          <t>テストコード／STシナリオ／バグチケット</t>
        </is>
      </c>
      <c r="E9" s="4" t="inlineStr">
        <is>
          <t>F</t>
        </is>
      </c>
      <c r="F9" s="4" t="n">
        <v>8</v>
      </c>
      <c r="G9" s="4" t="n">
        <v>1</v>
      </c>
      <c r="H9" s="5" t="inlineStr">
        <is>
          <t>完了</t>
        </is>
      </c>
      <c r="I9" s="17" t="n">
        <v>46279</v>
      </c>
      <c r="J9" s="17" t="n">
        <v>46280</v>
      </c>
      <c r="K9" s="4" t="n"/>
    </row>
    <row r="10" ht="36" customHeight="1" s="1">
      <c r="A10" s="4" t="inlineStr">
        <is>
          <t>H</t>
        </is>
      </c>
      <c r="B10" s="4" t="inlineStr">
        <is>
          <t>機能追加</t>
        </is>
      </c>
      <c r="C10" s="4" t="inlineStr">
        <is>
          <t>ログイン、会員登録</t>
        </is>
      </c>
      <c r="D10" s="4" t="n"/>
      <c r="E10" s="4" t="n"/>
      <c r="F10" s="4" t="n"/>
      <c r="G10" s="4" t="n"/>
      <c r="H10" s="5" t="inlineStr">
        <is>
          <t>完了</t>
        </is>
      </c>
      <c r="I10" s="17" t="n">
        <v>46280</v>
      </c>
      <c r="J10" s="17" t="n">
        <v>46281</v>
      </c>
      <c r="K10" s="4" t="n"/>
    </row>
    <row r="11" ht="36" customHeight="1" s="1">
      <c r="A11" s="4" t="inlineStr">
        <is>
          <t>I</t>
        </is>
      </c>
      <c r="B11" s="4" t="inlineStr">
        <is>
          <t>動作確認</t>
        </is>
      </c>
      <c r="C11" s="4" t="n"/>
      <c r="D11" s="4" t="n"/>
      <c r="E11" s="4" t="n"/>
      <c r="F11" s="4" t="n"/>
      <c r="G11" s="4" t="n"/>
      <c r="H11" s="5" t="inlineStr">
        <is>
          <t>完了</t>
        </is>
      </c>
      <c r="I11" s="17" t="n">
        <v>46280</v>
      </c>
      <c r="J11" s="17" t="n">
        <v>46282</v>
      </c>
      <c r="K11" s="4" t="n"/>
    </row>
    <row r="12" ht="36" customHeight="1" s="1">
      <c r="A12" s="4" t="inlineStr">
        <is>
          <t>K</t>
        </is>
      </c>
      <c r="B12" s="4" t="inlineStr">
        <is>
          <t>レビュー・振り返り</t>
        </is>
      </c>
      <c r="C12" s="4" t="inlineStr">
        <is>
          <t>DoDチェック、PRレビュー→mainマージ、AIなし想定時間との比較振り返り</t>
        </is>
      </c>
      <c r="D12" s="4" t="inlineStr">
        <is>
          <t>DoDチェックリスト／振り返りメモ</t>
        </is>
      </c>
      <c r="E12" s="4" t="inlineStr">
        <is>
          <t>G</t>
        </is>
      </c>
      <c r="F12" s="4" t="n">
        <v>3</v>
      </c>
      <c r="G12" s="4" t="n">
        <v>0.5</v>
      </c>
      <c r="H12" s="5" t="inlineStr">
        <is>
          <t>完了</t>
        </is>
      </c>
      <c r="I12" s="17" t="n">
        <v>46282</v>
      </c>
      <c r="J12" s="17" t="n">
        <v>46282</v>
      </c>
      <c r="K12" s="4" t="n"/>
    </row>
    <row r="13">
      <c r="B13" s="7" t="inlineStr">
        <is>
          <t>合計</t>
        </is>
      </c>
      <c r="F13" s="7">
        <f>SUM(F3:F12)</f>
        <v/>
      </c>
      <c r="G13" s="7">
        <f>SUM(G3:G12)</f>
        <v/>
      </c>
    </row>
  </sheetData>
  <conditionalFormatting sqref="A3:K12">
    <cfRule type="expression" priority="5" dxfId="7" stopIfTrue="1">
      <formula>$H3="未着手"</formula>
    </cfRule>
    <cfRule type="expression" priority="6" dxfId="6" stopIfTrue="1">
      <formula>$H3="着手中"</formula>
    </cfRule>
    <cfRule type="expression" priority="7" dxfId="5" stopIfTrue="1">
      <formula>$H3="完了"</formula>
    </cfRule>
    <cfRule type="expression" priority="8" dxfId="4" stopIfTrue="1">
      <formula>$H3="修正中"</formula>
    </cfRule>
  </conditionalFormatting>
  <conditionalFormatting sqref="H3:H12">
    <cfRule type="expression" priority="1" dxfId="3" stopIfTrue="1">
      <formula>$H3="未着手"</formula>
    </cfRule>
    <cfRule type="expression" priority="2" dxfId="2" stopIfTrue="1">
      <formula>$H3="着手中"</formula>
    </cfRule>
    <cfRule type="expression" priority="3" dxfId="1" stopIfTrue="1">
      <formula>$H3="完了"</formula>
    </cfRule>
    <cfRule type="expression" priority="4" dxfId="0" stopIfTrue="1">
      <formula>$H3="修正中"</formula>
    </cfRule>
  </conditionalFormatting>
  <dataValidations count="1">
    <dataValidation sqref="H3:H12" showDropDown="0" showInputMessage="0" showErrorMessage="1" allowBlank="1" errorTitle="入力エラー" error="未着手 / 着手中 / 完了 / 修正中 から選択してください" promptTitle="状態" prompt="リストから選択" type="list">
      <formula1>"未着手,着手中,完了,修正中"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375623"/>
    <outlinePr summaryBelow="1" summaryRight="1"/>
    <pageSetUpPr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1" min="1" max="1"/>
    <col width="16" customWidth="1" style="1" min="2" max="2"/>
    <col width="44" customWidth="1" style="1" min="3" max="3"/>
    <col width="12" customWidth="1" style="1" min="4" max="4"/>
    <col width="12" customWidth="1" style="1" min="5" max="5"/>
    <col width="10" customWidth="1" style="1" min="6" max="6"/>
    <col width="34" customWidth="1" style="1" min="7" max="7"/>
  </cols>
  <sheetData>
    <row r="1" ht="21.5" customHeight="1" s="1">
      <c r="A1" s="18" t="inlineStr">
        <is>
          <t>チーム開発演習 工程管理WBS（設計〜発表資料作成）</t>
        </is>
      </c>
    </row>
    <row r="2">
      <c r="A2" s="26" t="inlineStr">
        <is>
          <t>No</t>
        </is>
      </c>
      <c r="B2" s="26" t="inlineStr">
        <is>
          <t>工程</t>
        </is>
      </c>
      <c r="C2" s="26" t="inlineStr">
        <is>
          <t>作業内容</t>
        </is>
      </c>
      <c r="D2" s="26" t="inlineStr">
        <is>
          <t>開始日</t>
        </is>
      </c>
      <c r="E2" s="26" t="inlineStr">
        <is>
          <t>終了日</t>
        </is>
      </c>
      <c r="F2" s="26" t="inlineStr">
        <is>
          <t>状況</t>
        </is>
      </c>
      <c r="G2" s="26" t="inlineStr">
        <is>
          <t>備考・メモ</t>
        </is>
      </c>
    </row>
    <row r="3">
      <c r="A3" s="20" t="inlineStr">
        <is>
          <t>1</t>
        </is>
      </c>
      <c r="B3" s="20" t="inlineStr">
        <is>
          <t>要件定義・準備</t>
        </is>
      </c>
      <c r="C3" s="21" t="inlineStr">
        <is>
          <t>要件・仕様の再確認、スケジュール調整、環境準備</t>
        </is>
      </c>
      <c r="D3" s="22" t="n"/>
      <c r="E3" s="22" t="n"/>
      <c r="F3" s="20" t="inlineStr">
        <is>
          <t>未着手</t>
        </is>
      </c>
      <c r="G3" s="21" t="inlineStr">
        <is>
          <t>任意：必要な場合のみ使用</t>
        </is>
      </c>
    </row>
    <row r="4">
      <c r="A4" s="20" t="inlineStr">
        <is>
          <t>2</t>
        </is>
      </c>
      <c r="B4" s="20" t="inlineStr">
        <is>
          <t>設計</t>
        </is>
      </c>
      <c r="C4" s="21" t="inlineStr">
        <is>
          <t>画面設計・API設計・DB設計・仕様書作成</t>
        </is>
      </c>
      <c r="D4" s="22" t="n"/>
      <c r="E4" s="22" t="n"/>
      <c r="F4" s="20" t="inlineStr">
        <is>
          <t>未着手</t>
        </is>
      </c>
      <c r="G4" s="21" t="inlineStr"/>
    </row>
    <row r="5">
      <c r="A5" s="20" t="inlineStr">
        <is>
          <t>3</t>
        </is>
      </c>
      <c r="B5" s="20" t="inlineStr">
        <is>
          <t>実装</t>
        </is>
      </c>
      <c r="C5" s="21" t="inlineStr">
        <is>
          <t>画面・API・DB実装</t>
        </is>
      </c>
      <c r="D5" s="22" t="n"/>
      <c r="E5" s="22" t="n"/>
      <c r="F5" s="20" t="inlineStr">
        <is>
          <t>未着手</t>
        </is>
      </c>
      <c r="G5" s="21" t="inlineStr"/>
    </row>
    <row r="6">
      <c r="A6" s="20" t="inlineStr">
        <is>
          <t>4</t>
        </is>
      </c>
      <c r="B6" s="20" t="inlineStr">
        <is>
          <t>テスト</t>
        </is>
      </c>
      <c r="C6" s="21" t="inlineStr">
        <is>
          <t>単体テスト・結合テスト・動作確認</t>
        </is>
      </c>
      <c r="D6" s="22" t="n"/>
      <c r="E6" s="22" t="n"/>
      <c r="F6" s="20" t="inlineStr">
        <is>
          <t>未着手</t>
        </is>
      </c>
      <c r="G6" s="21" t="inlineStr"/>
    </row>
    <row r="7">
      <c r="A7" s="20" t="inlineStr">
        <is>
          <t>5</t>
        </is>
      </c>
      <c r="B7" s="20" t="inlineStr">
        <is>
          <t>レビュー</t>
        </is>
      </c>
      <c r="C7" s="21" t="inlineStr">
        <is>
          <t>コードレビュー対応、指摘事項の修正</t>
        </is>
      </c>
      <c r="D7" s="22" t="n"/>
      <c r="E7" s="22" t="n"/>
      <c r="F7" s="20" t="inlineStr">
        <is>
          <t>未着手</t>
        </is>
      </c>
      <c r="G7" s="21" t="inlineStr"/>
    </row>
    <row r="8">
      <c r="A8" s="20" t="inlineStr">
        <is>
          <t>6</t>
        </is>
      </c>
      <c r="B8" s="20" t="inlineStr">
        <is>
          <t>振り返り</t>
        </is>
      </c>
      <c r="C8" s="21" t="inlineStr">
        <is>
          <t>KPT整理、課題・改善点の洗い出し</t>
        </is>
      </c>
      <c r="D8" s="22" t="n"/>
      <c r="E8" s="22" t="n"/>
      <c r="F8" s="20" t="inlineStr">
        <is>
          <t>未着手</t>
        </is>
      </c>
      <c r="G8" s="21" t="inlineStr"/>
    </row>
    <row r="9">
      <c r="A9" s="20" t="inlineStr">
        <is>
          <t>7</t>
        </is>
      </c>
      <c r="B9" s="20" t="inlineStr">
        <is>
          <t>発表資料作成</t>
        </is>
      </c>
      <c r="C9" s="21" t="inlineStr">
        <is>
          <t>スライド作成、デモ準備、想定質疑まとめ</t>
        </is>
      </c>
      <c r="D9" s="22" t="n"/>
      <c r="E9" s="22" t="n"/>
      <c r="F9" s="20" t="inlineStr">
        <is>
          <t>未着手</t>
        </is>
      </c>
      <c r="G9" s="21" t="inlineStr"/>
    </row>
    <row r="10">
      <c r="A10" s="20" t="inlineStr">
        <is>
          <t>8</t>
        </is>
      </c>
      <c r="B10" s="20" t="inlineStr">
        <is>
          <t>提出・発表</t>
        </is>
      </c>
      <c r="C10" s="21" t="inlineStr">
        <is>
          <t>最終成果物の提出、発表本番</t>
        </is>
      </c>
      <c r="D10" s="22" t="n"/>
      <c r="E10" s="22" t="n"/>
      <c r="F10" s="20" t="inlineStr">
        <is>
          <t>未着手</t>
        </is>
      </c>
      <c r="G10" s="21" t="inlineStr">
        <is>
          <t>任意：必要な場合のみ使用</t>
        </is>
      </c>
    </row>
    <row r="11">
      <c r="A11" s="20" t="n"/>
      <c r="B11" s="20" t="n"/>
      <c r="C11" s="21" t="n"/>
      <c r="D11" s="22" t="n"/>
      <c r="E11" s="22" t="n"/>
      <c r="F11" s="20" t="n"/>
      <c r="G11" s="21" t="n"/>
    </row>
    <row r="12">
      <c r="A12" s="20" t="n"/>
      <c r="B12" s="20" t="n"/>
      <c r="C12" s="21" t="n"/>
      <c r="D12" s="22" t="n"/>
      <c r="E12" s="22" t="n"/>
      <c r="F12" s="20" t="n"/>
      <c r="G12" s="21" t="n"/>
    </row>
    <row r="13">
      <c r="A13" s="20" t="n"/>
      <c r="B13" s="20" t="n"/>
      <c r="C13" s="21" t="n"/>
      <c r="D13" s="22" t="n"/>
      <c r="E13" s="22" t="n"/>
      <c r="F13" s="20" t="n"/>
      <c r="G13" s="21" t="n"/>
    </row>
    <row r="14">
      <c r="A14" s="20" t="n"/>
      <c r="B14" s="20" t="n"/>
      <c r="C14" s="21" t="n"/>
      <c r="D14" s="22" t="n"/>
      <c r="E14" s="22" t="n"/>
      <c r="F14" s="20" t="n"/>
      <c r="G14" s="21" t="n"/>
    </row>
    <row r="15">
      <c r="A15" s="20" t="n"/>
      <c r="B15" s="20" t="n"/>
      <c r="C15" s="21" t="n"/>
      <c r="D15" s="22" t="n"/>
      <c r="E15" s="22" t="n"/>
      <c r="F15" s="20" t="n"/>
      <c r="G15" s="21" t="n"/>
    </row>
    <row r="16">
      <c r="A16" s="20" t="n"/>
      <c r="B16" s="20" t="n"/>
      <c r="C16" s="21" t="n"/>
      <c r="D16" s="22" t="n"/>
      <c r="E16" s="22" t="n"/>
      <c r="F16" s="20" t="n"/>
      <c r="G16" s="21" t="n"/>
    </row>
    <row r="17">
      <c r="A17" s="20" t="n"/>
      <c r="B17" s="20" t="n"/>
      <c r="C17" s="21" t="n"/>
      <c r="D17" s="22" t="n"/>
      <c r="E17" s="22" t="n"/>
      <c r="F17" s="20" t="n"/>
      <c r="G17" s="21" t="n"/>
    </row>
    <row r="18">
      <c r="A18" s="20" t="n"/>
      <c r="B18" s="20" t="n"/>
      <c r="C18" s="21" t="n"/>
      <c r="D18" s="22" t="n"/>
      <c r="E18" s="22" t="n"/>
      <c r="F18" s="20" t="n"/>
      <c r="G18" s="21" t="n"/>
    </row>
    <row r="19">
      <c r="A19" s="20" t="n"/>
      <c r="B19" s="20" t="n"/>
      <c r="C19" s="21" t="n"/>
      <c r="D19" s="22" t="n"/>
      <c r="E19" s="22" t="n"/>
      <c r="F19" s="20" t="n"/>
      <c r="G19" s="21" t="n"/>
    </row>
    <row r="20">
      <c r="A20" s="20" t="n"/>
      <c r="B20" s="20" t="n"/>
      <c r="C20" s="21" t="n"/>
      <c r="D20" s="22" t="n"/>
      <c r="E20" s="22" t="n"/>
      <c r="F20" s="20" t="n"/>
      <c r="G20" s="21" t="n"/>
    </row>
  </sheetData>
  <autoFilter ref="A2:G10"/>
  <conditionalFormatting sqref="A3:G20">
    <cfRule type="expression" priority="1" dxfId="40">
      <formula>$F3="未着手"</formula>
    </cfRule>
    <cfRule type="expression" priority="2" dxfId="41">
      <formula>$F3="着手中"</formula>
    </cfRule>
    <cfRule type="expression" priority="3" dxfId="42">
      <formula>$F3="修正中"</formula>
    </cfRule>
    <cfRule type="expression" priority="4" dxfId="43">
      <formula>$F3="完了"</formula>
    </cfRule>
  </conditionalFormatting>
  <conditionalFormatting sqref="F3:F20">
    <cfRule type="expression" priority="5" dxfId="44">
      <formula>$F3="未着手"</formula>
    </cfRule>
    <cfRule type="expression" priority="6" dxfId="45">
      <formula>$F3="着手中"</formula>
    </cfRule>
    <cfRule type="expression" priority="7" dxfId="46">
      <formula>$F3="修正中"</formula>
    </cfRule>
    <cfRule type="expression" priority="8" dxfId="47">
      <formula>$F3="完了"</formula>
    </cfRule>
  </conditionalFormatting>
  <dataValidations count="1">
    <dataValidation sqref="F3:F20" showDropDown="0" showInputMessage="0" showErrorMessage="0" allowBlank="1" errorTitle="入力エラー" error="一覧から選択してください" type="list">
      <formula1>"未着手,着手中,修正中,完了"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xSplit="2" ySplit="2" topLeftCell="F44" activePane="bottomRight" state="frozen"/>
      <selection pane="topRight" activeCell="A1" sqref="A1"/>
      <selection pane="bottomLeft" activeCell="A1" sqref="A1"/>
      <selection pane="bottomRight" activeCell="H48" sqref="H48"/>
    </sheetView>
  </sheetViews>
  <sheetFormatPr baseColWidth="8" defaultRowHeight="18"/>
  <cols>
    <col width="8" customWidth="1" style="1" min="1" max="1"/>
    <col width="20" customWidth="1" style="1" min="2" max="2"/>
    <col width="30" customWidth="1" style="1" min="3" max="3"/>
    <col width="46" customWidth="1" style="1" min="4" max="4"/>
    <col width="20" customWidth="1" style="1" min="5" max="5"/>
    <col width="12" customWidth="1" style="1" min="6" max="6"/>
    <col width="11" customWidth="1" style="1" min="7" max="7"/>
    <col width="10" customWidth="1" style="1" min="8" max="8"/>
    <col width="12" customWidth="1" style="1" min="9" max="10"/>
    <col width="28" customWidth="1" style="1" min="11" max="11"/>
  </cols>
  <sheetData>
    <row r="1" ht="21.5" customHeight="1" s="1">
      <c r="A1" s="2" t="inlineStr">
        <is>
          <t>チーム開発演習 フェーズ別WBS（詳細・イベント申込システム）</t>
        </is>
      </c>
    </row>
    <row r="2">
      <c r="A2" s="3" t="inlineStr">
        <is>
          <t>WBS No</t>
        </is>
      </c>
      <c r="B2" s="3" t="inlineStr">
        <is>
          <t>フェーズ</t>
        </is>
      </c>
      <c r="C2" s="3" t="inlineStr">
        <is>
          <t>タスク</t>
        </is>
      </c>
      <c r="D2" s="3" t="inlineStr">
        <is>
          <t>作業内容</t>
        </is>
      </c>
      <c r="E2" s="3" t="inlineStr">
        <is>
          <t>成果物</t>
        </is>
      </c>
      <c r="F2" s="3" t="inlineStr">
        <is>
          <t>先行タスク</t>
        </is>
      </c>
      <c r="G2" s="3" t="inlineStr">
        <is>
          <t>目安工数(h)</t>
        </is>
      </c>
      <c r="H2" s="3" t="inlineStr">
        <is>
          <t>状態</t>
        </is>
      </c>
      <c r="I2" s="3" t="inlineStr">
        <is>
          <t>開始日</t>
        </is>
      </c>
      <c r="J2" s="3" t="inlineStr">
        <is>
          <t>完了日</t>
        </is>
      </c>
      <c r="K2" s="3" t="inlineStr">
        <is>
          <t>備考・メモ</t>
        </is>
      </c>
    </row>
    <row r="3">
      <c r="A3" s="8" t="inlineStr">
        <is>
          <t>A</t>
        </is>
      </c>
      <c r="B3" s="8" t="inlineStr">
        <is>
          <t>要件・設計</t>
        </is>
      </c>
      <c r="C3" s="8" t="n"/>
      <c r="D3" s="8" t="n"/>
      <c r="E3" s="8" t="n"/>
      <c r="F3" s="8" t="n"/>
      <c r="G3" s="8" t="n">
        <v>9</v>
      </c>
      <c r="H3" s="8" t="n"/>
      <c r="I3" s="8" t="n"/>
      <c r="J3" s="8" t="n"/>
      <c r="K3" s="8" t="n"/>
    </row>
    <row r="4" ht="36" customHeight="1" s="1">
      <c r="A4" s="4" t="inlineStr">
        <is>
          <t>A-1</t>
        </is>
      </c>
      <c r="B4" s="4" t="inlineStr">
        <is>
          <t>要件・設計</t>
        </is>
      </c>
      <c r="C4" s="4" t="inlineStr">
        <is>
          <t>テーマ・業務シナリオ最終確認</t>
        </is>
      </c>
      <c r="D4" s="4" t="inlineStr">
        <is>
          <t>Sheet1の内容を確定。利用者像・業務シナリオ4本（一般2・管理者2）の整合を確認</t>
        </is>
      </c>
      <c r="E4" s="4" t="inlineStr">
        <is>
          <t>確定シナリオ</t>
        </is>
      </c>
      <c r="F4" s="4" t="inlineStr">
        <is>
          <t>―</t>
        </is>
      </c>
      <c r="G4" s="4" t="n">
        <v>1</v>
      </c>
      <c r="H4" s="5" t="inlineStr">
        <is>
          <t>完了</t>
        </is>
      </c>
      <c r="I4" s="17" t="n">
        <v>46275</v>
      </c>
      <c r="J4" s="17" t="n">
        <v>46275</v>
      </c>
      <c r="K4" s="4" t="n"/>
    </row>
    <row r="5" ht="36" customHeight="1" s="1">
      <c r="A5" s="4" t="inlineStr">
        <is>
          <t>A-2</t>
        </is>
      </c>
      <c r="B5" s="4" t="inlineStr">
        <is>
          <t>要件・設計</t>
        </is>
      </c>
      <c r="C5" s="4" t="inlineStr">
        <is>
          <t>画面遷移図の作成</t>
        </is>
      </c>
      <c r="D5" s="4" t="inlineStr">
        <is>
          <t>SC-01〜05のルートパスとコンポーネント対応を決定。Angular Routerの遷移設計</t>
        </is>
      </c>
      <c r="E5" s="4" t="inlineStr">
        <is>
          <t>画面遷移図</t>
        </is>
      </c>
      <c r="F5" s="4" t="inlineStr">
        <is>
          <t>A-1</t>
        </is>
      </c>
      <c r="G5" s="4" t="n">
        <v>2</v>
      </c>
      <c r="H5" s="5" t="inlineStr">
        <is>
          <t>完了</t>
        </is>
      </c>
      <c r="I5" s="17" t="n">
        <v>46275</v>
      </c>
      <c r="J5" s="17" t="n">
        <v>46275</v>
      </c>
      <c r="K5" s="4" t="n"/>
    </row>
    <row r="6" ht="36" customHeight="1" s="1">
      <c r="A6" s="4" t="inlineStr">
        <is>
          <t>A-3</t>
        </is>
      </c>
      <c r="B6" s="4" t="inlineStr">
        <is>
          <t>要件・設計</t>
        </is>
      </c>
      <c r="C6" s="4" t="inlineStr">
        <is>
          <t>API一覧の設計</t>
        </is>
      </c>
      <c r="D6" s="4" t="inlineStr">
        <is>
          <t>必須8本＋詳細取得のメソッド・パス・権限・リクエスト/レスポンス定義</t>
        </is>
      </c>
      <c r="E6" s="4" t="inlineStr">
        <is>
          <t>API設計書</t>
        </is>
      </c>
      <c r="F6" s="4" t="inlineStr">
        <is>
          <t>A-1</t>
        </is>
      </c>
      <c r="G6" s="4" t="n">
        <v>2.5</v>
      </c>
      <c r="H6" s="5" t="inlineStr">
        <is>
          <t>完了</t>
        </is>
      </c>
      <c r="I6" s="17" t="n">
        <v>46275</v>
      </c>
      <c r="J6" s="17" t="n">
        <v>46276</v>
      </c>
      <c r="K6" s="4" t="n"/>
    </row>
    <row r="7" ht="36" customHeight="1" s="1">
      <c r="A7" s="4" t="inlineStr">
        <is>
          <t>A-4</t>
        </is>
      </c>
      <c r="B7" s="4" t="inlineStr">
        <is>
          <t>要件・設計</t>
        </is>
      </c>
      <c r="C7" s="4" t="inlineStr">
        <is>
          <t>ER図・テーブル定義</t>
        </is>
      </c>
      <c r="D7" s="4" t="inlineStr">
        <is>
          <t>users／events／applications のカラム・型・制約・FK、監査カラム(created_at/updated_at)</t>
        </is>
      </c>
      <c r="E7" s="4" t="inlineStr">
        <is>
          <t>ER図・テーブル定義書</t>
        </is>
      </c>
      <c r="F7" s="4" t="inlineStr">
        <is>
          <t>A-1</t>
        </is>
      </c>
      <c r="G7" s="4" t="n">
        <v>2</v>
      </c>
      <c r="H7" s="5" t="inlineStr">
        <is>
          <t>完了</t>
        </is>
      </c>
      <c r="I7" s="17" t="n">
        <v>46276</v>
      </c>
      <c r="J7" s="17" t="n">
        <v>46276</v>
      </c>
      <c r="K7" s="4" t="n"/>
    </row>
    <row r="8" ht="36" customHeight="1" s="1">
      <c r="A8" s="4" t="inlineStr">
        <is>
          <t>A-5</t>
        </is>
      </c>
      <c r="B8" s="4" t="inlineStr">
        <is>
          <t>要件・設計</t>
        </is>
      </c>
      <c r="C8" s="4" t="inlineStr">
        <is>
          <t>業務ロジック仕様</t>
        </is>
      </c>
      <c r="D8" s="4" t="inlineStr">
        <is>
          <t>定員超過チェック、申込締切・日付チェックの条件と異常時挙動（400＋理由）</t>
        </is>
      </c>
      <c r="E8" s="4" t="inlineStr">
        <is>
          <t>ロジック仕様</t>
        </is>
      </c>
      <c r="F8" s="4" t="inlineStr">
        <is>
          <t>A-3,A-4</t>
        </is>
      </c>
      <c r="G8" s="4" t="n">
        <v>1.5</v>
      </c>
      <c r="H8" s="5" t="inlineStr">
        <is>
          <t>完了</t>
        </is>
      </c>
      <c r="I8" s="17" t="n">
        <v>46276</v>
      </c>
      <c r="J8" s="17" t="n">
        <v>46276</v>
      </c>
      <c r="K8" s="4" t="n"/>
    </row>
    <row r="9">
      <c r="A9" s="8" t="inlineStr">
        <is>
          <t>B</t>
        </is>
      </c>
      <c r="B9" s="8" t="inlineStr">
        <is>
          <t>環境構築・共通基盤</t>
        </is>
      </c>
      <c r="C9" s="8" t="n"/>
      <c r="D9" s="8" t="n"/>
      <c r="E9" s="8" t="n"/>
      <c r="F9" s="8" t="n"/>
      <c r="G9" s="8" t="n">
        <v>6</v>
      </c>
      <c r="H9" s="8" t="n"/>
      <c r="I9" s="8" t="n"/>
      <c r="J9" s="8" t="n"/>
      <c r="K9" s="8" t="n"/>
    </row>
    <row r="10" ht="36" customHeight="1" s="1">
      <c r="A10" s="4" t="inlineStr">
        <is>
          <t>B-1</t>
        </is>
      </c>
      <c r="B10" s="4" t="inlineStr">
        <is>
          <t>環境構築・共通基盤</t>
        </is>
      </c>
      <c r="C10" s="4" t="inlineStr">
        <is>
          <t>GitHubリポジトリ・運用ルール</t>
        </is>
      </c>
      <c r="D10" s="4" t="inlineStr">
        <is>
          <t>リポジトリ作成、Issue/PRテンプレート、ブランチ運用ルール</t>
        </is>
      </c>
      <c r="E10" s="4" t="inlineStr">
        <is>
          <t>リポジトリ</t>
        </is>
      </c>
      <c r="F10" s="4" t="inlineStr">
        <is>
          <t>A</t>
        </is>
      </c>
      <c r="G10" s="4" t="n">
        <v>1</v>
      </c>
      <c r="H10" s="5" t="inlineStr">
        <is>
          <t>完了</t>
        </is>
      </c>
      <c r="I10" s="17" t="n">
        <v>46276</v>
      </c>
      <c r="J10" s="17" t="n">
        <v>46276</v>
      </c>
      <c r="K10" s="4" t="n"/>
    </row>
    <row r="11">
      <c r="A11" s="4" t="inlineStr">
        <is>
          <t>B-2</t>
        </is>
      </c>
      <c r="B11" s="4" t="inlineStr">
        <is>
          <t>環境構築・共通基盤</t>
        </is>
      </c>
      <c r="C11" s="4" t="inlineStr">
        <is>
          <t>Angularプロジェクト雛形</t>
        </is>
      </c>
      <c r="D11" s="4" t="inlineStr">
        <is>
          <t>SPA初期化、ルーティング有効化、ビルド確認</t>
        </is>
      </c>
      <c r="E11" s="4" t="inlineStr">
        <is>
          <t>Angプロジェクト</t>
        </is>
      </c>
      <c r="F11" s="4" t="inlineStr">
        <is>
          <t>B-1</t>
        </is>
      </c>
      <c r="G11" s="4" t="n">
        <v>1</v>
      </c>
      <c r="H11" s="5" t="inlineStr">
        <is>
          <t>完了</t>
        </is>
      </c>
      <c r="I11" s="17" t="n">
        <v>46276</v>
      </c>
      <c r="J11" s="17" t="n">
        <v>46276</v>
      </c>
      <c r="K11" s="4" t="n"/>
    </row>
    <row r="12">
      <c r="A12" s="4" t="inlineStr">
        <is>
          <t>B-3</t>
        </is>
      </c>
      <c r="B12" s="4" t="inlineStr">
        <is>
          <t>環境構築・共通基盤</t>
        </is>
      </c>
      <c r="C12" s="4" t="inlineStr">
        <is>
          <t>Spring Bootプロジェクト雛形</t>
        </is>
      </c>
      <c r="D12" s="4" t="inlineStr">
        <is>
          <t>Controller/Service/Repository構成、起動確認</t>
        </is>
      </c>
      <c r="E12" s="4" t="inlineStr">
        <is>
          <t>SBプロジェクト</t>
        </is>
      </c>
      <c r="F12" s="4" t="inlineStr">
        <is>
          <t>B-1</t>
        </is>
      </c>
      <c r="G12" s="4" t="n">
        <v>1</v>
      </c>
      <c r="H12" s="5" t="inlineStr">
        <is>
          <t>完了</t>
        </is>
      </c>
      <c r="I12" s="17" t="n">
        <v>46276</v>
      </c>
      <c r="J12" s="17" t="n">
        <v>46276</v>
      </c>
      <c r="K12" s="4" t="n"/>
    </row>
    <row r="13">
      <c r="A13" s="4" t="inlineStr">
        <is>
          <t>B-4</t>
        </is>
      </c>
      <c r="B13" s="4" t="inlineStr">
        <is>
          <t>環境構築・共通基盤</t>
        </is>
      </c>
      <c r="C13" s="4" t="inlineStr">
        <is>
          <t>MySQL構築・接続確認</t>
        </is>
      </c>
      <c r="D13" s="4" t="inlineStr">
        <is>
          <t>DB作成、application.yml接続設定、疎通確認</t>
        </is>
      </c>
      <c r="E13" s="4" t="inlineStr">
        <is>
          <t>接続確認</t>
        </is>
      </c>
      <c r="F13" s="4" t="inlineStr">
        <is>
          <t>B-3</t>
        </is>
      </c>
      <c r="G13" s="4" t="n">
        <v>0.5</v>
      </c>
      <c r="H13" s="5" t="inlineStr">
        <is>
          <t>完了</t>
        </is>
      </c>
      <c r="I13" s="17" t="n">
        <v>46276</v>
      </c>
      <c r="J13" s="17" t="n">
        <v>46276</v>
      </c>
      <c r="K13" s="4" t="n"/>
    </row>
    <row r="14" ht="36" customHeight="1" s="1">
      <c r="A14" s="4" t="inlineStr">
        <is>
          <t>B-5</t>
        </is>
      </c>
      <c r="B14" s="4" t="inlineStr">
        <is>
          <t>環境構築・共通基盤</t>
        </is>
      </c>
      <c r="C14" s="4" t="inlineStr">
        <is>
          <t>共通基盤の実装</t>
        </is>
      </c>
      <c r="D14" s="4" t="inlineStr">
        <is>
          <t>ダミー認証（userId・role固定）、@ControllerAdvice、Bean Validation土台、CORS設定</t>
        </is>
      </c>
      <c r="E14" s="4" t="inlineStr">
        <is>
          <t>共通コード</t>
        </is>
      </c>
      <c r="F14" s="4" t="inlineStr">
        <is>
          <t>B-2,B-3,B-4</t>
        </is>
      </c>
      <c r="G14" s="4" t="n">
        <v>2.5</v>
      </c>
      <c r="H14" s="5" t="inlineStr">
        <is>
          <t>完了</t>
        </is>
      </c>
      <c r="I14" s="17" t="n">
        <v>46276</v>
      </c>
      <c r="J14" s="17" t="n">
        <v>46276</v>
      </c>
      <c r="K14" s="4" t="n"/>
    </row>
    <row r="15">
      <c r="A15" s="8" t="inlineStr">
        <is>
          <t>C</t>
        </is>
      </c>
      <c r="B15" s="8" t="inlineStr">
        <is>
          <t>DB構築</t>
        </is>
      </c>
      <c r="C15" s="8" t="n"/>
      <c r="D15" s="8" t="n"/>
      <c r="E15" s="8" t="n"/>
      <c r="F15" s="8" t="n"/>
      <c r="G15" s="8" t="n">
        <v>3</v>
      </c>
      <c r="H15" s="8" t="n"/>
      <c r="I15" s="8" t="n"/>
      <c r="J15" s="8" t="n"/>
      <c r="K15" s="8" t="n"/>
    </row>
    <row r="16" ht="36" customHeight="1" s="1">
      <c r="A16" s="4" t="inlineStr">
        <is>
          <t>C-1</t>
        </is>
      </c>
      <c r="B16" s="4" t="inlineStr">
        <is>
          <t>DB構築</t>
        </is>
      </c>
      <c r="C16" s="4" t="inlineStr">
        <is>
          <t>DDL適用</t>
        </is>
      </c>
      <c r="D16" s="4" t="inlineStr">
        <is>
          <t>users／events／applications 作成、制約・FK・インデックス</t>
        </is>
      </c>
      <c r="E16" s="4" t="inlineStr">
        <is>
          <t>スキーマ</t>
        </is>
      </c>
      <c r="F16" s="4" t="inlineStr">
        <is>
          <t>A-4,B-4</t>
        </is>
      </c>
      <c r="G16" s="4" t="n">
        <v>1.5</v>
      </c>
      <c r="H16" s="5" t="inlineStr">
        <is>
          <t>完了</t>
        </is>
      </c>
      <c r="I16" s="17" t="n">
        <v>46276</v>
      </c>
      <c r="J16" s="17" t="n">
        <v>46276</v>
      </c>
      <c r="K16" s="4" t="n"/>
    </row>
    <row r="17">
      <c r="A17" s="4" t="inlineStr">
        <is>
          <t>C-2</t>
        </is>
      </c>
      <c r="B17" s="4" t="inlineStr">
        <is>
          <t>DB構築</t>
        </is>
      </c>
      <c r="C17" s="4" t="inlineStr">
        <is>
          <t>初期データ投入</t>
        </is>
      </c>
      <c r="D17" s="4" t="inlineStr">
        <is>
          <t>ロール2種、ダミーユーザー、サンプルイベント数件</t>
        </is>
      </c>
      <c r="E17" s="4" t="inlineStr">
        <is>
          <t>seedスクリプト</t>
        </is>
      </c>
      <c r="F17" s="4" t="inlineStr">
        <is>
          <t>C-1</t>
        </is>
      </c>
      <c r="G17" s="4" t="n">
        <v>1.5</v>
      </c>
      <c r="H17" s="5" t="inlineStr">
        <is>
          <t>完了</t>
        </is>
      </c>
      <c r="I17" s="17" t="n">
        <v>46276</v>
      </c>
      <c r="J17" s="17" t="n">
        <v>46276</v>
      </c>
      <c r="K17" s="4" t="n"/>
    </row>
    <row r="18" ht="36" customHeight="1" s="1">
      <c r="A18" s="8" t="inlineStr">
        <is>
          <t>D</t>
        </is>
      </c>
      <c r="B18" s="8" t="inlineStr">
        <is>
          <t>バックエンド実装（API）</t>
        </is>
      </c>
      <c r="C18" s="8" t="n"/>
      <c r="D18" s="8" t="n"/>
      <c r="E18" s="8" t="n"/>
      <c r="F18" s="8" t="n"/>
      <c r="G18" s="8" t="n">
        <v>23</v>
      </c>
      <c r="H18" s="8" t="n"/>
      <c r="I18" s="8" t="n"/>
      <c r="J18" s="8" t="n"/>
      <c r="K18" s="8" t="n"/>
    </row>
    <row r="19" ht="36" customHeight="1" s="1">
      <c r="A19" s="4" t="inlineStr">
        <is>
          <t>D-1</t>
        </is>
      </c>
      <c r="B19" s="4" t="inlineStr">
        <is>
          <t>バックエンド実装（API）</t>
        </is>
      </c>
      <c r="C19" s="4" t="inlineStr">
        <is>
          <t>イベント一覧・詳細API</t>
        </is>
      </c>
      <c r="D19" s="4" t="inlineStr">
        <is>
          <t>GET /api/events、GET /api/events/{id}</t>
        </is>
      </c>
      <c r="E19" s="4" t="inlineStr">
        <is>
          <t>API</t>
        </is>
      </c>
      <c r="F19" s="4" t="inlineStr">
        <is>
          <t>C</t>
        </is>
      </c>
      <c r="G19" s="4" t="n">
        <v>3</v>
      </c>
      <c r="H19" s="5" t="inlineStr">
        <is>
          <t>完了</t>
        </is>
      </c>
      <c r="I19" s="17" t="n">
        <v>46276</v>
      </c>
      <c r="J19" s="17" t="n">
        <v>46279</v>
      </c>
      <c r="K19" s="4" t="n"/>
    </row>
    <row r="20" ht="36" customHeight="1" s="1">
      <c r="A20" s="4" t="inlineStr">
        <is>
          <t>D-2</t>
        </is>
      </c>
      <c r="B20" s="4" t="inlineStr">
        <is>
          <t>バックエンド実装（API）</t>
        </is>
      </c>
      <c r="C20" s="4" t="inlineStr">
        <is>
          <t>イベント登録・編集・削除API</t>
        </is>
      </c>
      <c r="D20" s="4" t="inlineStr">
        <is>
          <t>POST/PUT/DELETE /api/events(/{id})、管理者権限のみ</t>
        </is>
      </c>
      <c r="E20" s="4" t="inlineStr">
        <is>
          <t>API</t>
        </is>
      </c>
      <c r="F20" s="4" t="inlineStr">
        <is>
          <t>C</t>
        </is>
      </c>
      <c r="G20" s="4" t="n">
        <v>5</v>
      </c>
      <c r="H20" s="5" t="inlineStr">
        <is>
          <t>完了</t>
        </is>
      </c>
      <c r="I20" s="17" t="n">
        <v>46279</v>
      </c>
      <c r="J20" s="17" t="n">
        <v>46279</v>
      </c>
      <c r="K20" s="4" t="n"/>
    </row>
    <row r="21" ht="36" customHeight="1" s="1">
      <c r="A21" s="4" t="inlineStr">
        <is>
          <t>D-3</t>
        </is>
      </c>
      <c r="B21" s="4" t="inlineStr">
        <is>
          <t>バックエンド実装（API）</t>
        </is>
      </c>
      <c r="C21" s="4" t="inlineStr">
        <is>
          <t>イベント申込API</t>
        </is>
      </c>
      <c r="D21" s="4" t="inlineStr">
        <is>
          <t>POST /api/applications、本人userIdに紐付け</t>
        </is>
      </c>
      <c r="E21" s="4" t="inlineStr">
        <is>
          <t>API</t>
        </is>
      </c>
      <c r="F21" s="4" t="inlineStr">
        <is>
          <t>C</t>
        </is>
      </c>
      <c r="G21" s="4" t="n">
        <v>3</v>
      </c>
      <c r="H21" s="5" t="inlineStr">
        <is>
          <t>完了</t>
        </is>
      </c>
      <c r="I21" s="17" t="n">
        <v>46279</v>
      </c>
      <c r="J21" s="17" t="n">
        <v>46279</v>
      </c>
      <c r="K21" s="4" t="n"/>
    </row>
    <row r="22" ht="36" customHeight="1" s="1">
      <c r="A22" s="4" t="inlineStr">
        <is>
          <t>D-4</t>
        </is>
      </c>
      <c r="B22" s="4" t="inlineStr">
        <is>
          <t>バックエンド実装（API）</t>
        </is>
      </c>
      <c r="C22" s="4" t="inlineStr">
        <is>
          <t>自分の申込一覧API</t>
        </is>
      </c>
      <c r="D22" s="4" t="inlineStr">
        <is>
          <t>GET /api/my/applications、本人分のみ</t>
        </is>
      </c>
      <c r="E22" s="4" t="inlineStr">
        <is>
          <t>API</t>
        </is>
      </c>
      <c r="F22" s="4" t="inlineStr">
        <is>
          <t>C</t>
        </is>
      </c>
      <c r="G22" s="4" t="n">
        <v>2</v>
      </c>
      <c r="H22" s="5" t="inlineStr">
        <is>
          <t>完了</t>
        </is>
      </c>
      <c r="I22" s="17" t="n">
        <v>46279</v>
      </c>
      <c r="J22" s="17" t="n">
        <v>46279</v>
      </c>
      <c r="K22" s="4" t="n"/>
    </row>
    <row r="23" ht="36" customHeight="1" s="1">
      <c r="A23" s="4" t="inlineStr">
        <is>
          <t>D-5</t>
        </is>
      </c>
      <c r="B23" s="4" t="inlineStr">
        <is>
          <t>バックエンド実装（API）</t>
        </is>
      </c>
      <c r="C23" s="4" t="inlineStr">
        <is>
          <t>申込キャンセルAPI</t>
        </is>
      </c>
      <c r="D23" s="4" t="inlineStr">
        <is>
          <t>DELETE /api/applications/{id}、本人のみ</t>
        </is>
      </c>
      <c r="E23" s="4" t="inlineStr">
        <is>
          <t>API</t>
        </is>
      </c>
      <c r="F23" s="4" t="inlineStr">
        <is>
          <t>C</t>
        </is>
      </c>
      <c r="G23" s="4" t="n">
        <v>2</v>
      </c>
      <c r="H23" s="5" t="inlineStr">
        <is>
          <t>完了</t>
        </is>
      </c>
      <c r="I23" s="17" t="n">
        <v>46279</v>
      </c>
      <c r="J23" s="17" t="n">
        <v>46279</v>
      </c>
      <c r="K23" s="4" t="n"/>
    </row>
    <row r="24" ht="36" customHeight="1" s="1">
      <c r="A24" s="4" t="inlineStr">
        <is>
          <t>D-6</t>
        </is>
      </c>
      <c r="B24" s="4" t="inlineStr">
        <is>
          <t>バックエンド実装（API）</t>
        </is>
      </c>
      <c r="C24" s="4" t="inlineStr">
        <is>
          <t>申込実績CSV出力API</t>
        </is>
      </c>
      <c r="D24" s="4" t="inlineStr">
        <is>
          <t>GET /api/reports/applications、CSV生成、管理者のみ</t>
        </is>
      </c>
      <c r="E24" s="4" t="inlineStr">
        <is>
          <t>API</t>
        </is>
      </c>
      <c r="F24" s="4" t="inlineStr">
        <is>
          <t>D-3</t>
        </is>
      </c>
      <c r="G24" s="4" t="n">
        <v>3</v>
      </c>
      <c r="H24" s="5" t="inlineStr">
        <is>
          <t>完了</t>
        </is>
      </c>
      <c r="I24" s="17" t="n">
        <v>46279</v>
      </c>
      <c r="J24" s="17" t="n">
        <v>46279</v>
      </c>
      <c r="K24" s="4" t="n"/>
    </row>
    <row r="25" ht="36" customHeight="1" s="1">
      <c r="A25" s="4" t="inlineStr">
        <is>
          <t>D-7</t>
        </is>
      </c>
      <c r="B25" s="4" t="inlineStr">
        <is>
          <t>バックエンド実装（API）</t>
        </is>
      </c>
      <c r="C25" s="4" t="inlineStr">
        <is>
          <t>業務ロジック実装</t>
        </is>
      </c>
      <c r="D25" s="4" t="inlineStr">
        <is>
          <t>定員超過チェック（D-3内）、締切・日付チェック、業務例外→400変換</t>
        </is>
      </c>
      <c r="E25" s="4" t="inlineStr">
        <is>
          <t>Service層ロジック</t>
        </is>
      </c>
      <c r="F25" s="4" t="inlineStr">
        <is>
          <t>D-3</t>
        </is>
      </c>
      <c r="G25" s="4" t="n">
        <v>4</v>
      </c>
      <c r="H25" s="5" t="inlineStr">
        <is>
          <t>完了</t>
        </is>
      </c>
      <c r="I25" s="17" t="n">
        <v>46279</v>
      </c>
      <c r="J25" s="17" t="n">
        <v>46279</v>
      </c>
      <c r="K25" s="4" t="n"/>
    </row>
    <row r="26" ht="36" customHeight="1" s="1">
      <c r="A26" s="4" t="inlineStr">
        <is>
          <t>D-8</t>
        </is>
      </c>
      <c r="B26" s="4" t="inlineStr">
        <is>
          <t>バックエンド実装（API）</t>
        </is>
      </c>
      <c r="C26" s="4" t="inlineStr">
        <is>
          <t>API手動疎通確認</t>
        </is>
      </c>
      <c r="D26" s="4" t="inlineStr">
        <is>
          <t>REST クライアントで必須8本＋αの動作を確認</t>
        </is>
      </c>
      <c r="E26" s="4" t="inlineStr">
        <is>
          <t>確認記録</t>
        </is>
      </c>
      <c r="F26" s="4" t="inlineStr">
        <is>
          <t>D-1〜D-7</t>
        </is>
      </c>
      <c r="G26" s="4" t="n">
        <v>1</v>
      </c>
      <c r="H26" s="5" t="inlineStr">
        <is>
          <t>完了</t>
        </is>
      </c>
      <c r="I26" s="17" t="n">
        <v>46279</v>
      </c>
      <c r="J26" s="17" t="n">
        <v>46279</v>
      </c>
      <c r="K26" s="4" t="n"/>
    </row>
    <row r="27" ht="36" customHeight="1" s="1">
      <c r="A27" s="8" t="inlineStr">
        <is>
          <t>E</t>
        </is>
      </c>
      <c r="B27" s="8" t="inlineStr">
        <is>
          <t>フロントエンド実装（画面）</t>
        </is>
      </c>
      <c r="C27" s="8" t="n"/>
      <c r="D27" s="8" t="n"/>
      <c r="E27" s="8" t="n"/>
      <c r="F27" s="8" t="n"/>
      <c r="G27" s="8" t="n">
        <v>23</v>
      </c>
      <c r="H27" s="8" t="n"/>
      <c r="I27" s="8" t="n"/>
      <c r="J27" s="8" t="n"/>
      <c r="K27" s="8" t="n"/>
    </row>
    <row r="28" ht="36" customHeight="1" s="1">
      <c r="A28" s="4" t="inlineStr">
        <is>
          <t>E-1</t>
        </is>
      </c>
      <c r="B28" s="4" t="inlineStr">
        <is>
          <t>フロントエンド実装（画面）</t>
        </is>
      </c>
      <c r="C28" s="4" t="inlineStr">
        <is>
          <t>共通（ルーティング・レイアウト・APIサービス）</t>
        </is>
      </c>
      <c r="D28" s="4" t="inlineStr">
        <is>
          <t>app.routes.ts、共通レイアウト、HttpClientサービス、エラーハンドリング</t>
        </is>
      </c>
      <c r="E28" s="4" t="inlineStr">
        <is>
          <t>共通モジュール</t>
        </is>
      </c>
      <c r="F28" s="4" t="inlineStr">
        <is>
          <t>B-2,D</t>
        </is>
      </c>
      <c r="G28" s="4" t="n">
        <v>4</v>
      </c>
      <c r="H28" s="5" t="inlineStr">
        <is>
          <t>完了</t>
        </is>
      </c>
      <c r="I28" s="17" t="n">
        <v>46279</v>
      </c>
      <c r="J28" s="17" t="n">
        <v>46279</v>
      </c>
      <c r="K28" s="4" t="n"/>
    </row>
    <row r="29" ht="36" customHeight="1" s="1">
      <c r="A29" s="4" t="inlineStr">
        <is>
          <t>E-2</t>
        </is>
      </c>
      <c r="B29" s="4" t="inlineStr">
        <is>
          <t>フロントエンド実装（画面）</t>
        </is>
      </c>
      <c r="C29" s="4" t="inlineStr">
        <is>
          <t>SC-01 ログイン画面</t>
        </is>
      </c>
      <c r="D29" s="4" t="inlineStr">
        <is>
          <t>ダミーログイン、ロール保持、遷移</t>
        </is>
      </c>
      <c r="E29" s="4" t="inlineStr">
        <is>
          <t>画面</t>
        </is>
      </c>
      <c r="F29" s="4" t="inlineStr">
        <is>
          <t>E-1</t>
        </is>
      </c>
      <c r="G29" s="4" t="n">
        <v>2</v>
      </c>
      <c r="H29" s="5" t="inlineStr">
        <is>
          <t>完了</t>
        </is>
      </c>
      <c r="I29" s="17" t="n">
        <v>46279</v>
      </c>
      <c r="J29" s="17" t="n">
        <v>46279</v>
      </c>
      <c r="K29" s="4" t="n"/>
    </row>
    <row r="30" ht="36" customHeight="1" s="1">
      <c r="A30" s="4" t="inlineStr">
        <is>
          <t>E-3</t>
        </is>
      </c>
      <c r="B30" s="4" t="inlineStr">
        <is>
          <t>フロントエンド実装（画面）</t>
        </is>
      </c>
      <c r="C30" s="4" t="inlineStr">
        <is>
          <t>SC-02 イベント一覧・詳細・申込</t>
        </is>
      </c>
      <c r="D30" s="4" t="inlineStr">
        <is>
          <t>一覧表示、詳細表示、申込ボタン→申込完了表示</t>
        </is>
      </c>
      <c r="E30" s="4" t="inlineStr">
        <is>
          <t>画面</t>
        </is>
      </c>
      <c r="F30" s="4" t="inlineStr">
        <is>
          <t>E-1,D-1,D-3</t>
        </is>
      </c>
      <c r="G30" s="4" t="n">
        <v>5.5</v>
      </c>
      <c r="H30" s="5" t="inlineStr">
        <is>
          <t>完了</t>
        </is>
      </c>
      <c r="I30" s="17" t="n">
        <v>46276</v>
      </c>
      <c r="J30" s="17" t="n">
        <v>46279</v>
      </c>
      <c r="K30" s="4" t="n"/>
    </row>
    <row r="31" ht="36" customHeight="1" s="1">
      <c r="A31" s="4" t="inlineStr">
        <is>
          <t>E-4</t>
        </is>
      </c>
      <c r="B31" s="4" t="inlineStr">
        <is>
          <t>フロントエンド実装（画面）</t>
        </is>
      </c>
      <c r="C31" s="4" t="inlineStr">
        <is>
          <t>SC-03 マイページ（申込一覧・キャンセル）</t>
        </is>
      </c>
      <c r="D31" s="4" t="inlineStr">
        <is>
          <t>自分の申込一覧、キャンセル操作</t>
        </is>
      </c>
      <c r="E31" s="4" t="inlineStr">
        <is>
          <t>画面</t>
        </is>
      </c>
      <c r="F31" s="4" t="inlineStr">
        <is>
          <t>E-1,D-4,D-5</t>
        </is>
      </c>
      <c r="G31" s="4" t="n">
        <v>4</v>
      </c>
      <c r="H31" s="5" t="inlineStr">
        <is>
          <t>完了</t>
        </is>
      </c>
      <c r="I31" s="17" t="n">
        <v>46279</v>
      </c>
      <c r="J31" s="17" t="n">
        <v>46279</v>
      </c>
      <c r="K31" s="4" t="n"/>
    </row>
    <row r="32" ht="36" customHeight="1" s="1">
      <c r="A32" s="4" t="inlineStr">
        <is>
          <t>E-5</t>
        </is>
      </c>
      <c r="B32" s="4" t="inlineStr">
        <is>
          <t>フロントエンド実装（画面）</t>
        </is>
      </c>
      <c r="C32" s="4" t="inlineStr">
        <is>
          <t>SC-04 イベント管理画面（管理者）</t>
        </is>
      </c>
      <c r="D32" s="4" t="inlineStr">
        <is>
          <t>登録・編集・削除フォーム、管理用一覧</t>
        </is>
      </c>
      <c r="E32" s="4" t="inlineStr">
        <is>
          <t>画面</t>
        </is>
      </c>
      <c r="F32" s="4" t="inlineStr">
        <is>
          <t>E-1,D-2</t>
        </is>
      </c>
      <c r="G32" s="4" t="n">
        <v>4.5</v>
      </c>
      <c r="H32" s="5" t="inlineStr">
        <is>
          <t>完了</t>
        </is>
      </c>
      <c r="I32" s="17" t="n">
        <v>46279</v>
      </c>
      <c r="J32" s="17" t="n">
        <v>46279</v>
      </c>
      <c r="K32" s="4" t="n"/>
    </row>
    <row r="33" ht="36" customHeight="1" s="1">
      <c r="A33" s="4" t="inlineStr">
        <is>
          <t>E-6</t>
        </is>
      </c>
      <c r="B33" s="4" t="inlineStr">
        <is>
          <t>フロントエンド実装（画面）</t>
        </is>
      </c>
      <c r="C33" s="4" t="inlineStr">
        <is>
          <t>SC-05 申込実績出力画面（管理者）</t>
        </is>
      </c>
      <c r="D33" s="4" t="inlineStr">
        <is>
          <t>申込数／定員充足率の表示、並び替え、CSVダウンロード</t>
        </is>
      </c>
      <c r="E33" s="4" t="inlineStr">
        <is>
          <t>画面</t>
        </is>
      </c>
      <c r="F33" s="4" t="inlineStr">
        <is>
          <t>E-1,D-6</t>
        </is>
      </c>
      <c r="G33" s="4" t="n">
        <v>2</v>
      </c>
      <c r="H33" s="5" t="inlineStr">
        <is>
          <t>完了</t>
        </is>
      </c>
      <c r="I33" s="17" t="n">
        <v>46279</v>
      </c>
      <c r="J33" s="17" t="n">
        <v>46279</v>
      </c>
      <c r="K33" s="4" t="n"/>
    </row>
    <row r="34" ht="36" customHeight="1" s="1">
      <c r="A34" s="4" t="inlineStr">
        <is>
          <t>E-7</t>
        </is>
      </c>
      <c r="B34" s="4" t="inlineStr">
        <is>
          <t>フロントエンド実装（画面）</t>
        </is>
      </c>
      <c r="C34" s="4" t="inlineStr">
        <is>
          <t>ロール分岐・画面ガード</t>
        </is>
      </c>
      <c r="D34" s="4" t="inlineStr">
        <is>
          <t>一般／管理者でメニュー表示とルートアクセスを制御</t>
        </is>
      </c>
      <c r="E34" s="4" t="inlineStr">
        <is>
          <t>ガード</t>
        </is>
      </c>
      <c r="F34" s="4" t="inlineStr">
        <is>
          <t>E-2</t>
        </is>
      </c>
      <c r="G34" s="4" t="n">
        <v>1</v>
      </c>
      <c r="H34" s="5" t="inlineStr">
        <is>
          <t>完了</t>
        </is>
      </c>
      <c r="I34" s="17" t="n">
        <v>46279</v>
      </c>
      <c r="J34" s="17" t="n">
        <v>46279</v>
      </c>
      <c r="K34" s="4" t="n"/>
    </row>
    <row r="35">
      <c r="A35" s="8" t="inlineStr">
        <is>
          <t>F</t>
        </is>
      </c>
      <c r="B35" s="8" t="inlineStr">
        <is>
          <t>結合・動作確認</t>
        </is>
      </c>
      <c r="C35" s="8" t="n"/>
      <c r="D35" s="8" t="n"/>
      <c r="E35" s="8" t="n"/>
      <c r="F35" s="8" t="n"/>
      <c r="G35" s="8" t="n">
        <v>3</v>
      </c>
      <c r="H35" s="8" t="n"/>
      <c r="I35" s="8" t="n"/>
      <c r="J35" s="8" t="n"/>
      <c r="K35" s="8" t="n"/>
    </row>
    <row r="36" ht="36" customHeight="1" s="1">
      <c r="A36" s="4" t="inlineStr">
        <is>
          <t>F-1</t>
        </is>
      </c>
      <c r="B36" s="4" t="inlineStr">
        <is>
          <t>結合・動作確認</t>
        </is>
      </c>
      <c r="C36" s="4" t="inlineStr">
        <is>
          <t>画面→API→DB 通し確認</t>
        </is>
      </c>
      <c r="D36" s="4" t="inlineStr">
        <is>
          <t>主要フローの疎通、SPA遷移（フルリロードが起きないこと）の確認</t>
        </is>
      </c>
      <c r="E36" s="4" t="inlineStr">
        <is>
          <t>確認記録</t>
        </is>
      </c>
      <c r="F36" s="4" t="inlineStr">
        <is>
          <t>E</t>
        </is>
      </c>
      <c r="G36" s="4" t="n">
        <v>1</v>
      </c>
      <c r="H36" s="5" t="inlineStr">
        <is>
          <t>完了</t>
        </is>
      </c>
      <c r="I36" s="17" t="n">
        <v>46280</v>
      </c>
      <c r="J36" s="17" t="n">
        <v>46280</v>
      </c>
      <c r="K36" s="4" t="n"/>
    </row>
    <row r="37">
      <c r="A37" s="4" t="inlineStr">
        <is>
          <t>F-2</t>
        </is>
      </c>
      <c r="B37" s="4" t="inlineStr">
        <is>
          <t>結合・動作確認</t>
        </is>
      </c>
      <c r="C37" s="4" t="inlineStr">
        <is>
          <t>業務シナリオ手動実行</t>
        </is>
      </c>
      <c r="D37" s="4" t="inlineStr">
        <is>
          <t>一般2本・管理者2本のシナリオを通しで実行</t>
        </is>
      </c>
      <c r="E37" s="4" t="inlineStr">
        <is>
          <t>シナリオ結果</t>
        </is>
      </c>
      <c r="F37" s="4" t="inlineStr">
        <is>
          <t>F-1</t>
        </is>
      </c>
      <c r="G37" s="4" t="n">
        <v>2</v>
      </c>
      <c r="H37" s="5" t="inlineStr">
        <is>
          <t>完了</t>
        </is>
      </c>
      <c r="I37" s="17" t="n">
        <v>46280</v>
      </c>
      <c r="J37" s="17" t="n">
        <v>46280</v>
      </c>
      <c r="K37" s="4" t="n"/>
    </row>
    <row r="38">
      <c r="A38" s="8" t="inlineStr">
        <is>
          <t>G</t>
        </is>
      </c>
      <c r="B38" s="8" t="inlineStr">
        <is>
          <t>テスト</t>
        </is>
      </c>
      <c r="C38" s="8" t="n"/>
      <c r="D38" s="8" t="n"/>
      <c r="E38" s="8" t="n"/>
      <c r="F38" s="8" t="n"/>
      <c r="G38" s="8" t="n">
        <v>8</v>
      </c>
      <c r="H38" s="8" t="n"/>
      <c r="I38" s="8" t="n"/>
      <c r="J38" s="8" t="n"/>
      <c r="K38" s="8" t="n"/>
    </row>
    <row r="39" ht="36" customHeight="1" s="1">
      <c r="A39" s="4" t="inlineStr">
        <is>
          <t>G-1</t>
        </is>
      </c>
      <c r="B39" s="4" t="inlineStr">
        <is>
          <t>テスト</t>
        </is>
      </c>
      <c r="C39" s="4" t="inlineStr">
        <is>
          <t>ユニットテスト（Service層）</t>
        </is>
      </c>
      <c r="D39" s="4" t="inlineStr">
        <is>
          <t>業務ロジックの正常系／異常系 最低4ケース、JUnit5＋Mockito</t>
        </is>
      </c>
      <c r="E39" s="4" t="inlineStr">
        <is>
          <t>テストコード</t>
        </is>
      </c>
      <c r="F39" s="4" t="inlineStr">
        <is>
          <t>D-7</t>
        </is>
      </c>
      <c r="G39" s="4" t="n">
        <v>2.5</v>
      </c>
      <c r="H39" s="5" t="inlineStr">
        <is>
          <t>完了</t>
        </is>
      </c>
      <c r="I39" s="17" t="n">
        <v>46280</v>
      </c>
      <c r="J39" s="17" t="n">
        <v>46280</v>
      </c>
      <c r="K39" s="4" t="n"/>
    </row>
    <row r="40">
      <c r="A40" s="4" t="inlineStr">
        <is>
          <t>G-2</t>
        </is>
      </c>
      <c r="B40" s="4" t="inlineStr">
        <is>
          <t>テスト</t>
        </is>
      </c>
      <c r="C40" s="4" t="inlineStr">
        <is>
          <t>API/DB結合テスト</t>
        </is>
      </c>
      <c r="D40" s="4" t="inlineStr">
        <is>
          <t>必須API 8本のうち5本以上</t>
        </is>
      </c>
      <c r="E40" s="4" t="inlineStr">
        <is>
          <t>テストコード</t>
        </is>
      </c>
      <c r="F40" s="4" t="inlineStr">
        <is>
          <t>D-8</t>
        </is>
      </c>
      <c r="G40" s="4" t="n">
        <v>2.5</v>
      </c>
      <c r="H40" s="5" t="inlineStr">
        <is>
          <t>完了</t>
        </is>
      </c>
      <c r="I40" s="17" t="n">
        <v>46280</v>
      </c>
      <c r="J40" s="17" t="n">
        <v>46280</v>
      </c>
      <c r="K40" s="4" t="n"/>
    </row>
    <row r="41">
      <c r="A41" s="4" t="inlineStr">
        <is>
          <t>G-3</t>
        </is>
      </c>
      <c r="B41" s="4" t="inlineStr">
        <is>
          <t>テスト</t>
        </is>
      </c>
      <c r="C41" s="4" t="inlineStr">
        <is>
          <t>STシナリオ（総合）</t>
        </is>
      </c>
      <c r="D41" s="4" t="inlineStr">
        <is>
          <t>一般ユーザー視点1本＋管理者視点1本</t>
        </is>
      </c>
      <c r="E41" s="4" t="inlineStr">
        <is>
          <t>STシナリオ</t>
        </is>
      </c>
      <c r="F41" s="4" t="inlineStr">
        <is>
          <t>F-2</t>
        </is>
      </c>
      <c r="G41" s="4" t="n">
        <v>1.5</v>
      </c>
      <c r="H41" s="5" t="inlineStr">
        <is>
          <t>完了</t>
        </is>
      </c>
      <c r="I41" s="17" t="n">
        <v>46280</v>
      </c>
      <c r="J41" s="17" t="n">
        <v>46280</v>
      </c>
      <c r="K41" s="4" t="n"/>
    </row>
    <row r="42">
      <c r="A42" s="4" t="inlineStr">
        <is>
          <t>G-4</t>
        </is>
      </c>
      <c r="B42" s="4" t="inlineStr">
        <is>
          <t>テスト</t>
        </is>
      </c>
      <c r="C42" s="4" t="inlineStr">
        <is>
          <t>バグチケット対応</t>
        </is>
      </c>
      <c r="D42" s="4" t="inlineStr">
        <is>
          <t>1件以上を起票 → 修正 → 再テスト</t>
        </is>
      </c>
      <c r="E42" s="4" t="inlineStr">
        <is>
          <t>バグチケット</t>
        </is>
      </c>
      <c r="F42" s="4" t="inlineStr">
        <is>
          <t>G-1〜G-3</t>
        </is>
      </c>
      <c r="G42" s="4" t="n">
        <v>1.5</v>
      </c>
      <c r="H42" s="5" t="inlineStr">
        <is>
          <t>完了</t>
        </is>
      </c>
      <c r="I42" s="17" t="n">
        <v>46280</v>
      </c>
      <c r="J42" s="17" t="n">
        <v>46280</v>
      </c>
      <c r="K42" s="4" t="n"/>
    </row>
    <row r="43">
      <c r="A43" s="8" t="inlineStr">
        <is>
          <t>I</t>
        </is>
      </c>
      <c r="B43" s="8" t="inlineStr">
        <is>
          <t>機能追加・最終テスト</t>
        </is>
      </c>
      <c r="C43" s="8" t="n"/>
      <c r="D43" s="8" t="n"/>
      <c r="E43" s="8" t="n"/>
      <c r="F43" s="8" t="n"/>
      <c r="G43" s="8" t="n">
        <v>16</v>
      </c>
      <c r="H43" s="8" t="n"/>
      <c r="I43" s="8" t="n"/>
      <c r="J43" s="8" t="n"/>
      <c r="K43" s="8" t="n"/>
    </row>
    <row r="44" ht="36" customHeight="1" s="1">
      <c r="A44" s="4" t="inlineStr">
        <is>
          <t>I-1</t>
        </is>
      </c>
      <c r="B44" s="4" t="inlineStr">
        <is>
          <t>機能追加・最終テスト</t>
        </is>
      </c>
      <c r="C44" s="4" t="inlineStr">
        <is>
          <t>機能追加</t>
        </is>
      </c>
      <c r="D44" s="4" t="inlineStr">
        <is>
          <t>ログイン方式変更・会員登録・イベント検索・カード型UI等の追加実装</t>
        </is>
      </c>
      <c r="E44" s="4" t="inlineStr">
        <is>
          <t>追加機能一式</t>
        </is>
      </c>
      <c r="F44" s="4" t="inlineStr">
        <is>
          <t>G-4</t>
        </is>
      </c>
      <c r="G44" s="4" t="n">
        <v>8</v>
      </c>
      <c r="H44" s="5" t="inlineStr">
        <is>
          <t>完了</t>
        </is>
      </c>
      <c r="I44" s="17" t="n">
        <v>46280</v>
      </c>
      <c r="J44" s="17" t="n">
        <v>46281</v>
      </c>
      <c r="K44" s="4" t="n"/>
    </row>
    <row r="45">
      <c r="A45" s="4" t="inlineStr">
        <is>
          <t>I-2</t>
        </is>
      </c>
      <c r="B45" s="4" t="inlineStr">
        <is>
          <t>機能追加・最終テスト</t>
        </is>
      </c>
      <c r="C45" s="4" t="inlineStr">
        <is>
          <t>最終テスト・動作確認</t>
        </is>
      </c>
      <c r="D45" s="4" t="inlineStr">
        <is>
          <t>追加機能を含めた全体の回帰テスト・動作確認</t>
        </is>
      </c>
      <c r="E45" s="4" t="inlineStr">
        <is>
          <t>動作確認記録</t>
        </is>
      </c>
      <c r="F45" s="4" t="inlineStr">
        <is>
          <t>I-1</t>
        </is>
      </c>
      <c r="G45" s="4" t="n">
        <v>8</v>
      </c>
      <c r="H45" s="5" t="inlineStr">
        <is>
          <t>完了</t>
        </is>
      </c>
      <c r="I45" s="17" t="n">
        <v>46281</v>
      </c>
      <c r="J45" s="17" t="n">
        <v>46282</v>
      </c>
      <c r="K45" s="4" t="n"/>
    </row>
    <row r="46">
      <c r="A46" s="8" t="inlineStr">
        <is>
          <t>H</t>
        </is>
      </c>
      <c r="B46" s="8" t="inlineStr">
        <is>
          <t>レビュー・振り返り</t>
        </is>
      </c>
      <c r="C46" s="8" t="n"/>
      <c r="D46" s="8" t="n"/>
      <c r="E46" s="8" t="n"/>
      <c r="F46" s="8" t="n"/>
      <c r="G46" s="8" t="n">
        <v>3</v>
      </c>
      <c r="H46" s="8" t="n"/>
      <c r="I46" s="8" t="n"/>
      <c r="J46" s="8" t="n"/>
      <c r="K46" s="8" t="n"/>
    </row>
    <row r="47">
      <c r="A47" s="4" t="inlineStr">
        <is>
          <t>H-1</t>
        </is>
      </c>
      <c r="B47" s="4" t="inlineStr">
        <is>
          <t>レビュー・振り返り</t>
        </is>
      </c>
      <c r="C47" s="4" t="inlineStr">
        <is>
          <t>DoDチェック</t>
        </is>
      </c>
      <c r="D47" s="4" t="inlineStr">
        <is>
          <t>技術仕様書§8の完了条件を1項目ずつ確認</t>
        </is>
      </c>
      <c r="E47" s="4" t="inlineStr">
        <is>
          <t>チェックリスト</t>
        </is>
      </c>
      <c r="F47" s="4" t="inlineStr">
        <is>
          <t>G</t>
        </is>
      </c>
      <c r="G47" s="4" t="n">
        <v>1</v>
      </c>
      <c r="H47" s="5" t="inlineStr">
        <is>
          <t>完了</t>
        </is>
      </c>
      <c r="I47" s="17" t="n">
        <v>46282</v>
      </c>
      <c r="J47" s="17" t="n">
        <v>46282</v>
      </c>
      <c r="K47" s="4" t="n"/>
    </row>
    <row r="48">
      <c r="A48" s="4" t="inlineStr">
        <is>
          <t>H-2</t>
        </is>
      </c>
      <c r="B48" s="4" t="inlineStr">
        <is>
          <t>レビュー・振り返り</t>
        </is>
      </c>
      <c r="C48" s="4" t="inlineStr">
        <is>
          <t>PRレビュー・mainマージ</t>
        </is>
      </c>
      <c r="D48" s="4" t="inlineStr">
        <is>
          <t>差分レビュー（Claude＋目視）、mainへマージ</t>
        </is>
      </c>
      <c r="E48" s="4" t="inlineStr">
        <is>
          <t>マージ済みコード</t>
        </is>
      </c>
      <c r="F48" s="4" t="inlineStr">
        <is>
          <t>H-1</t>
        </is>
      </c>
      <c r="G48" s="4" t="n">
        <v>1</v>
      </c>
      <c r="H48" s="5" t="inlineStr">
        <is>
          <t>完了</t>
        </is>
      </c>
      <c r="I48" s="17" t="n">
        <v>46282</v>
      </c>
      <c r="J48" s="17" t="n">
        <v>46282</v>
      </c>
      <c r="K48" s="4" t="n"/>
    </row>
    <row r="49">
      <c r="A49" s="4" t="inlineStr">
        <is>
          <t>H-3</t>
        </is>
      </c>
      <c r="B49" s="4" t="inlineStr">
        <is>
          <t>レビュー・振り返り</t>
        </is>
      </c>
      <c r="C49" s="4" t="inlineStr">
        <is>
          <t>振り返り</t>
        </is>
      </c>
      <c r="D49" s="4" t="inlineStr">
        <is>
          <t>AIなし想定時間との比較、教材化に向けたメモ</t>
        </is>
      </c>
      <c r="E49" s="4" t="inlineStr">
        <is>
          <t>振り返りメモ</t>
        </is>
      </c>
      <c r="F49" s="4" t="inlineStr">
        <is>
          <t>H-2</t>
        </is>
      </c>
      <c r="G49" s="4" t="n">
        <v>1</v>
      </c>
      <c r="H49" s="5" t="inlineStr">
        <is>
          <t>完了</t>
        </is>
      </c>
      <c r="I49" s="17" t="n">
        <v>46282</v>
      </c>
      <c r="J49" s="17" t="n">
        <v>46282</v>
      </c>
      <c r="K49" s="4" t="n"/>
    </row>
    <row r="50">
      <c r="C50" s="7" t="inlineStr">
        <is>
          <t>合計（タスク工数）</t>
        </is>
      </c>
      <c r="G50" s="7">
        <f>SUMPRODUCT((ISNUMBER(SEARCH("-",A3:A49)))*G3:G49)</f>
        <v/>
      </c>
    </row>
  </sheetData>
  <conditionalFormatting sqref="A3:K49">
    <cfRule type="expression" priority="1" dxfId="7">
      <formula>$H3="未着手"</formula>
    </cfRule>
    <cfRule type="expression" priority="2" dxfId="6">
      <formula>$H3="着手中"</formula>
    </cfRule>
    <cfRule type="expression" priority="3" dxfId="5">
      <formula>$H3="完了"</formula>
    </cfRule>
    <cfRule type="expression" priority="4" dxfId="4">
      <formula>$H3="修正中"</formula>
    </cfRule>
  </conditionalFormatting>
  <conditionalFormatting sqref="H3:H49">
    <cfRule type="expression" priority="5" dxfId="3">
      <formula>$H3="未着手"</formula>
    </cfRule>
    <cfRule type="expression" priority="6" dxfId="2">
      <formula>$H3="着手中"</formula>
    </cfRule>
    <cfRule type="expression" priority="7" dxfId="1">
      <formula>$H3="完了"</formula>
    </cfRule>
    <cfRule type="expression" priority="8" dxfId="0">
      <formula>$H3="修正中"</formula>
    </cfRule>
  </conditionalFormatting>
  <dataValidations count="1">
    <dataValidation sqref="H3:H49" showDropDown="0" showInputMessage="0" showErrorMessage="1" allowBlank="1" errorTitle="入力エラー" error="未着手 / 着手中 / 完了 / 修正中 から選択してください" promptTitle="状態" prompt="リストから選択" type="list">
      <formula1>"未着手,着手中,完了,修正中"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tabSelected="1" topLeftCell="D44" workbookViewId="0">
      <selection activeCell="I44" sqref="I44"/>
    </sheetView>
  </sheetViews>
  <sheetFormatPr baseColWidth="8" defaultRowHeight="18"/>
  <cols>
    <col width="8" customWidth="1" style="1" min="1" max="1"/>
    <col width="22" customWidth="1" style="1" min="2" max="2"/>
    <col width="30" customWidth="1" style="1" min="3" max="3"/>
    <col width="46" customWidth="1" style="1" min="4" max="4"/>
    <col width="20" customWidth="1" style="1" min="5" max="5"/>
    <col width="12" customWidth="1" style="1" min="6" max="6"/>
    <col width="11" customWidth="1" style="1" min="7" max="7"/>
    <col width="10" customWidth="1" style="1" min="8" max="8"/>
    <col width="12" customWidth="1" style="1" min="9" max="10"/>
    <col width="30" customWidth="1" style="1" min="11" max="11"/>
  </cols>
  <sheetData>
    <row r="1" ht="18.5" customHeight="1" s="1">
      <c r="A1" s="9" t="inlineStr">
        <is>
          <t>イベント申込システム 追加開発WBS（v2.0設計書ベース・自己管理用）</t>
        </is>
      </c>
    </row>
    <row r="2">
      <c r="A2" s="10" t="inlineStr">
        <is>
          <t>WBS No</t>
        </is>
      </c>
      <c r="B2" s="10" t="inlineStr">
        <is>
          <t>フェーズ</t>
        </is>
      </c>
      <c r="C2" s="10" t="inlineStr">
        <is>
          <t>タスク</t>
        </is>
      </c>
      <c r="D2" s="10" t="inlineStr">
        <is>
          <t>作業内容</t>
        </is>
      </c>
      <c r="E2" s="10" t="inlineStr">
        <is>
          <t>成果物</t>
        </is>
      </c>
      <c r="F2" s="10" t="inlineStr">
        <is>
          <t>先行タスク</t>
        </is>
      </c>
      <c r="G2" s="10" t="inlineStr">
        <is>
          <t>目安工数(h)</t>
        </is>
      </c>
      <c r="H2" s="10" t="inlineStr">
        <is>
          <t>状態</t>
        </is>
      </c>
      <c r="I2" s="10" t="inlineStr">
        <is>
          <t>開始日</t>
        </is>
      </c>
      <c r="J2" s="10" t="inlineStr">
        <is>
          <t>完了日</t>
        </is>
      </c>
      <c r="K2" s="10" t="inlineStr">
        <is>
          <t>備考・メモ</t>
        </is>
      </c>
    </row>
    <row r="3">
      <c r="A3" s="11" t="inlineStr">
        <is>
          <t>J</t>
        </is>
      </c>
      <c r="B3" s="11" t="inlineStr">
        <is>
          <t>DB拡張</t>
        </is>
      </c>
      <c r="C3" s="11" t="n"/>
      <c r="D3" s="11" t="n"/>
      <c r="E3" s="11" t="n"/>
      <c r="F3" s="11" t="n"/>
      <c r="G3" s="11" t="n">
        <v>5</v>
      </c>
      <c r="H3" s="11" t="n"/>
      <c r="I3" s="11" t="n"/>
      <c r="J3" s="11" t="n"/>
      <c r="K3" s="11" t="n"/>
    </row>
    <row r="4" ht="90" customHeight="1" s="1">
      <c r="A4" s="12" t="inlineStr">
        <is>
          <t>J-1</t>
        </is>
      </c>
      <c r="B4" s="12" t="inlineStr">
        <is>
          <t>DB拡張</t>
        </is>
      </c>
      <c r="C4" s="12" t="inlineStr">
        <is>
          <t>既存テーブルへの列追加</t>
        </is>
      </c>
      <c r="D4" s="12" t="inlineStr">
        <is>
          <t>events(organizer_name/image_url/category/extra_question)、applications(ticket_type_id/extra_answer/checked_in_at)を追加。schema.sql更新・本番DBへALTER TABLE適用</t>
        </is>
      </c>
      <c r="E4" s="12" t="inlineStr">
        <is>
          <t>更新済みschema.sql・DB</t>
        </is>
      </c>
      <c r="F4" s="12" t="inlineStr">
        <is>
          <t>―</t>
        </is>
      </c>
      <c r="G4" s="12" t="n">
        <v>3</v>
      </c>
      <c r="H4" s="12" t="inlineStr">
        <is>
          <t>完了</t>
        </is>
      </c>
      <c r="I4" s="23" t="n">
        <v>46283</v>
      </c>
      <c r="J4" s="23" t="n">
        <v>46283</v>
      </c>
      <c r="K4" s="12" t="n"/>
    </row>
    <row r="5" ht="54" customHeight="1" s="1">
      <c r="A5" s="12" t="inlineStr">
        <is>
          <t>J-2</t>
        </is>
      </c>
      <c r="B5" s="12" t="inlineStr">
        <is>
          <t>DB拡張</t>
        </is>
      </c>
      <c r="C5" s="12" t="inlineStr">
        <is>
          <t>新規テーブル作成</t>
        </is>
      </c>
      <c r="D5" s="12" t="inlineStr">
        <is>
          <t>favorites／ticket_types／event_commentsを作成。ER図・インデックス・FKをテーブル定義書_v2.0.md通りに反映</t>
        </is>
      </c>
      <c r="E5" s="12" t="inlineStr">
        <is>
          <t>更新済みschema.sql・DB</t>
        </is>
      </c>
      <c r="F5" s="12" t="inlineStr">
        <is>
          <t>J-1</t>
        </is>
      </c>
      <c r="G5" s="12" t="n">
        <v>2</v>
      </c>
      <c r="H5" s="12" t="inlineStr">
        <is>
          <t>完了</t>
        </is>
      </c>
      <c r="I5" s="23" t="n">
        <v>46283</v>
      </c>
      <c r="J5" s="23" t="n">
        <v>46283</v>
      </c>
      <c r="K5" s="12" t="n"/>
    </row>
    <row r="6" ht="26" customHeight="1" s="1">
      <c r="A6" s="11" t="inlineStr">
        <is>
          <t>L</t>
        </is>
      </c>
      <c r="B6" s="11" t="inlineStr">
        <is>
          <t>バックエンド実装（イベント情報の拡張）</t>
        </is>
      </c>
      <c r="C6" s="11" t="n"/>
      <c r="D6" s="11" t="n"/>
      <c r="E6" s="11" t="n"/>
      <c r="F6" s="11" t="n"/>
      <c r="G6" s="11" t="n">
        <v>10</v>
      </c>
      <c r="H6" s="11" t="n"/>
      <c r="I6" s="11" t="n"/>
      <c r="J6" s="11" t="n"/>
      <c r="K6" s="11" t="n"/>
    </row>
    <row r="7" ht="54" customHeight="1" s="1">
      <c r="A7" s="12" t="inlineStr">
        <is>
          <t>L-1</t>
        </is>
      </c>
      <c r="B7" s="12" t="inlineStr">
        <is>
          <t>バックエンド実装（イベント情報の拡張）</t>
        </is>
      </c>
      <c r="C7" s="12" t="inlineStr">
        <is>
          <t>イベント登録・編集の項目拡張</t>
        </is>
      </c>
      <c r="D7" s="12" t="inlineStr">
        <is>
          <t>Event entity・EventUpsertRequest・EventDetailResponse等に主催者名／画像URL／カテゴリ／アンケート文言を追加</t>
        </is>
      </c>
      <c r="E7" s="12" t="inlineStr">
        <is>
          <t>更新済みAPI-06/07</t>
        </is>
      </c>
      <c r="F7" s="12" t="inlineStr">
        <is>
          <t>J-1</t>
        </is>
      </c>
      <c r="G7" s="12" t="n">
        <v>4</v>
      </c>
      <c r="H7" s="12" t="inlineStr">
        <is>
          <t>完了</t>
        </is>
      </c>
      <c r="I7" s="23" t="n">
        <v>46283</v>
      </c>
      <c r="J7" s="23" t="n">
        <v>46289</v>
      </c>
      <c r="K7" s="12" t="inlineStr">
        <is>
          <t>PR#3マージ済み（mainに反映済み）</t>
        </is>
      </c>
    </row>
    <row r="8" ht="54" customHeight="1" s="1">
      <c r="A8" s="12" t="inlineStr">
        <is>
          <t>L-2</t>
        </is>
      </c>
      <c r="B8" s="12" t="inlineStr">
        <is>
          <t>バックエンド実装（イベント情報の拡張）</t>
        </is>
      </c>
      <c r="C8" s="12" t="inlineStr">
        <is>
          <t>定員区分（TicketType）の実装</t>
        </is>
      </c>
      <c r="D8" s="12" t="inlineStr">
        <is>
          <t>TicketType entity・repository、Event保存時の区分全置換ロジック、EventDetailResponseへの区分一覧追加</t>
        </is>
      </c>
      <c r="E8" s="12" t="inlineStr">
        <is>
          <t>更新済みAPI-02/06/07</t>
        </is>
      </c>
      <c r="F8" s="12" t="inlineStr">
        <is>
          <t>J-2</t>
        </is>
      </c>
      <c r="G8" s="12" t="n">
        <v>4</v>
      </c>
      <c r="H8" s="12" t="inlineStr">
        <is>
          <t>完了</t>
        </is>
      </c>
      <c r="I8" s="23" t="n">
        <v>46283</v>
      </c>
      <c r="J8" s="23" t="n">
        <v>46289</v>
      </c>
      <c r="K8" s="12" t="inlineStr">
        <is>
          <t>PR#3マージ済み（mainに反映済み）</t>
        </is>
      </c>
    </row>
    <row r="9" ht="36" customHeight="1" s="1">
      <c r="A9" s="12" t="inlineStr">
        <is>
          <t>L-3</t>
        </is>
      </c>
      <c r="B9" s="12" t="inlineStr">
        <is>
          <t>バックエンド実装（イベント情報の拡張）</t>
        </is>
      </c>
      <c r="C9" s="12" t="inlineStr">
        <is>
          <t>ユニットテスト</t>
        </is>
      </c>
      <c r="D9" s="12" t="inlineStr">
        <is>
          <t>EventServiceの拡張分（区分保存等）の正常系・異常系テスト</t>
        </is>
      </c>
      <c r="E9" s="12" t="inlineStr">
        <is>
          <t>テストコード</t>
        </is>
      </c>
      <c r="F9" s="12" t="inlineStr">
        <is>
          <t>L-1,L-2</t>
        </is>
      </c>
      <c r="G9" s="12" t="n">
        <v>2</v>
      </c>
      <c r="H9" s="12" t="inlineStr">
        <is>
          <t>完了</t>
        </is>
      </c>
      <c r="I9" s="23" t="n">
        <v>46283</v>
      </c>
      <c r="J9" s="23" t="n">
        <v>46289</v>
      </c>
      <c r="K9" s="12" t="inlineStr">
        <is>
          <t>PR#3マージ済み（mainに反映済み）</t>
        </is>
      </c>
    </row>
    <row r="10" ht="26" customHeight="1" s="1">
      <c r="A10" s="11" t="inlineStr">
        <is>
          <t>M</t>
        </is>
      </c>
      <c r="B10" s="11" t="inlineStr">
        <is>
          <t>バックエンド実装（申込・キャンセルの区分対応）</t>
        </is>
      </c>
      <c r="C10" s="11" t="n"/>
      <c r="D10" s="11" t="n"/>
      <c r="E10" s="11" t="n"/>
      <c r="F10" s="11" t="n"/>
      <c r="G10" s="11" t="n">
        <v>11</v>
      </c>
      <c r="H10" s="11" t="n"/>
      <c r="I10" s="11" t="n"/>
      <c r="J10" s="11" t="n"/>
      <c r="K10" s="11" t="n"/>
    </row>
    <row r="11" ht="54" customHeight="1" s="1">
      <c r="A11" s="12" t="inlineStr">
        <is>
          <t>M-1</t>
        </is>
      </c>
      <c r="B11" s="12" t="inlineStr">
        <is>
          <t>バックエンド実装（申込・キャンセルの区分対応）</t>
        </is>
      </c>
      <c r="C11" s="12" t="inlineStr">
        <is>
          <t>区分単位の定員判定</t>
        </is>
      </c>
      <c r="D11" s="12" t="inlineStr">
        <is>
          <t>ApplicationServiceの定員超過チェックを区分単位に対応。区分必須・区分存在チェック（E11/E12）</t>
        </is>
      </c>
      <c r="E11" s="12" t="inlineStr">
        <is>
          <t>更新済みAPI-03</t>
        </is>
      </c>
      <c r="F11" s="12" t="inlineStr">
        <is>
          <t>L-2</t>
        </is>
      </c>
      <c r="G11" s="12" t="n">
        <v>5</v>
      </c>
      <c r="H11" s="12" t="inlineStr">
        <is>
          <t>着手中</t>
        </is>
      </c>
      <c r="I11" s="23" t="n">
        <v>46289</v>
      </c>
      <c r="J11" s="12" t="n"/>
      <c r="K11" s="12" t="inlineStr">
        <is>
          <t>PR#4作成・code-review対応済み。mainマージはユーザー承認待ち</t>
        </is>
      </c>
    </row>
    <row r="12" ht="54" customHeight="1" s="1">
      <c r="A12" s="12" t="inlineStr">
        <is>
          <t>M-2</t>
        </is>
      </c>
      <c r="B12" s="12" t="inlineStr">
        <is>
          <t>バックエンド実装（申込・キャンセルの区分対応）</t>
        </is>
      </c>
      <c r="C12" s="12" t="inlineStr">
        <is>
          <t>キャンセル待ちの順位計算・繰り上げ</t>
        </is>
      </c>
      <c r="D12" s="12" t="inlineStr">
        <is>
          <t>waitlistRankの計算、区分単位でのキャンセル待ち繰り上げ対応</t>
        </is>
      </c>
      <c r="E12" s="12" t="inlineStr">
        <is>
          <t>更新済みAPI-04/05</t>
        </is>
      </c>
      <c r="F12" s="12" t="inlineStr">
        <is>
          <t>M-1</t>
        </is>
      </c>
      <c r="G12" s="12" t="n">
        <v>3</v>
      </c>
      <c r="H12" s="12" t="inlineStr">
        <is>
          <t>着手中</t>
        </is>
      </c>
      <c r="I12" s="23" t="n">
        <v>46289</v>
      </c>
      <c r="J12" s="12" t="n"/>
      <c r="K12" s="12" t="inlineStr">
        <is>
          <t>PR#4作成・code-review対応済み。mainマージはユーザー承認待ち</t>
        </is>
      </c>
    </row>
    <row r="13" ht="54" customHeight="1" s="1">
      <c r="A13" s="12" t="inlineStr">
        <is>
          <t>M-3</t>
        </is>
      </c>
      <c r="B13" s="12" t="inlineStr">
        <is>
          <t>バックエンド実装（申込・キャンセルの区分対応）</t>
        </is>
      </c>
      <c r="C13" s="12" t="inlineStr">
        <is>
          <t>ユニットテスト</t>
        </is>
      </c>
      <c r="D13" s="12" t="inlineStr">
        <is>
          <t>ApplicationServiceの拡張分（区分判定・順位計算）の正常系・異常系テスト</t>
        </is>
      </c>
      <c r="E13" s="12" t="inlineStr">
        <is>
          <t>テストコード</t>
        </is>
      </c>
      <c r="F13" s="12" t="inlineStr">
        <is>
          <t>M-1,M-2</t>
        </is>
      </c>
      <c r="G13" s="12" t="n">
        <v>3</v>
      </c>
      <c r="H13" s="12" t="inlineStr">
        <is>
          <t>着手中</t>
        </is>
      </c>
      <c r="I13" s="23" t="n">
        <v>46289</v>
      </c>
      <c r="J13" s="12" t="n"/>
      <c r="K13" s="12" t="inlineStr">
        <is>
          <t>ユニットテスト成功。PR#4マージ待ち</t>
        </is>
      </c>
    </row>
    <row r="14" ht="26" customHeight="1" s="1">
      <c r="A14" s="11" t="inlineStr">
        <is>
          <t>N</t>
        </is>
      </c>
      <c r="B14" s="11" t="inlineStr">
        <is>
          <t>バックエンド実装（お気に入り）</t>
        </is>
      </c>
      <c r="C14" s="11" t="n"/>
      <c r="D14" s="11" t="n"/>
      <c r="E14" s="11" t="n"/>
      <c r="F14" s="11" t="n"/>
      <c r="G14" s="11" t="n">
        <v>5.5</v>
      </c>
      <c r="H14" s="11" t="n"/>
      <c r="I14" s="11" t="n"/>
      <c r="J14" s="11" t="n"/>
      <c r="K14" s="11" t="n"/>
    </row>
    <row r="15" ht="36" customHeight="1" s="1">
      <c r="A15" s="12" t="inlineStr">
        <is>
          <t>N-1</t>
        </is>
      </c>
      <c r="B15" s="12" t="inlineStr">
        <is>
          <t>バックエンド実装（お気に入り）</t>
        </is>
      </c>
      <c r="C15" s="12" t="inlineStr">
        <is>
          <t>お気に入りAPI実装</t>
        </is>
      </c>
      <c r="D15" s="12" t="inlineStr">
        <is>
          <t>Favorite entity/repository/service/controller。API-15〜17（登録・解除・一覧、冪等処理）</t>
        </is>
      </c>
      <c r="E15" s="12" t="inlineStr">
        <is>
          <t>API-15〜17</t>
        </is>
      </c>
      <c r="F15" s="12" t="inlineStr">
        <is>
          <t>J-1</t>
        </is>
      </c>
      <c r="G15" s="12" t="n">
        <v>4</v>
      </c>
      <c r="H15" s="12" t="inlineStr">
        <is>
          <t>着手中</t>
        </is>
      </c>
      <c r="I15" s="23" t="n">
        <v>46289</v>
      </c>
      <c r="J15" s="12" t="n"/>
      <c r="K15" s="12" t="inlineStr">
        <is>
          <t>PR#5作成・code-review対応済み。mainマージはユーザー承認待ち</t>
        </is>
      </c>
    </row>
    <row r="16" ht="36" customHeight="1" s="1">
      <c r="A16" s="12" t="inlineStr">
        <is>
          <t>N-2</t>
        </is>
      </c>
      <c r="B16" s="12" t="inlineStr">
        <is>
          <t>バックエンド実装（お気に入り）</t>
        </is>
      </c>
      <c r="C16" s="12" t="inlineStr">
        <is>
          <t>ユニットテスト</t>
        </is>
      </c>
      <c r="D16" s="12" t="inlineStr">
        <is>
          <t>FavoriteServiceの正常系・冪等系テスト</t>
        </is>
      </c>
      <c r="E16" s="12" t="inlineStr">
        <is>
          <t>テストコード</t>
        </is>
      </c>
      <c r="F16" s="12" t="inlineStr">
        <is>
          <t>N-1</t>
        </is>
      </c>
      <c r="G16" s="12" t="n">
        <v>1.5</v>
      </c>
      <c r="H16" s="12" t="inlineStr">
        <is>
          <t>着手中</t>
        </is>
      </c>
      <c r="I16" s="23" t="n">
        <v>46289</v>
      </c>
      <c r="J16" s="12" t="n"/>
      <c r="K16" s="12" t="inlineStr">
        <is>
          <t>ユニットテスト成功。PR#5マージ待ち</t>
        </is>
      </c>
    </row>
    <row r="17" ht="26" customHeight="1" s="1">
      <c r="A17" s="11" t="inlineStr">
        <is>
          <t>O</t>
        </is>
      </c>
      <c r="B17" s="11" t="inlineStr">
        <is>
          <t>バックエンド実装（イベントコメント）</t>
        </is>
      </c>
      <c r="C17" s="11" t="n"/>
      <c r="D17" s="11" t="n"/>
      <c r="E17" s="11" t="n"/>
      <c r="F17" s="11" t="n"/>
      <c r="G17" s="11" t="n">
        <v>5.5</v>
      </c>
      <c r="H17" s="11" t="n"/>
      <c r="I17" s="11" t="n"/>
      <c r="J17" s="11" t="n"/>
      <c r="K17" s="11" t="n"/>
    </row>
    <row r="18" ht="54" customHeight="1" s="1">
      <c r="A18" s="12" t="inlineStr">
        <is>
          <t>O-1</t>
        </is>
      </c>
      <c r="B18" s="12" t="inlineStr">
        <is>
          <t>バックエンド実装（イベントコメント）</t>
        </is>
      </c>
      <c r="C18" s="12" t="inlineStr">
        <is>
          <t>コメントAPI実装</t>
        </is>
      </c>
      <c r="D18" s="12" t="inlineStr">
        <is>
          <t>EventComment entity/repository/service/controller。API-20〜22（一覧・投稿・削除、削除権限チェックE10）</t>
        </is>
      </c>
      <c r="E18" s="12" t="inlineStr">
        <is>
          <t>API-20〜22</t>
        </is>
      </c>
      <c r="F18" s="12" t="inlineStr">
        <is>
          <t>J-2</t>
        </is>
      </c>
      <c r="G18" s="12" t="n">
        <v>4</v>
      </c>
      <c r="H18" s="12" t="inlineStr">
        <is>
          <t>着手中</t>
        </is>
      </c>
      <c r="I18" s="23" t="n">
        <v>46289</v>
      </c>
      <c r="J18" s="12" t="n"/>
      <c r="K18" s="12" t="inlineStr">
        <is>
          <t>PR#6作成・code-review対応済み。mainマージはユーザー承認待ち</t>
        </is>
      </c>
    </row>
    <row r="19" ht="36" customHeight="1" s="1">
      <c r="A19" s="12" t="inlineStr">
        <is>
          <t>O-2</t>
        </is>
      </c>
      <c r="B19" s="12" t="inlineStr">
        <is>
          <t>バックエンド実装（イベントコメント）</t>
        </is>
      </c>
      <c r="C19" s="12" t="inlineStr">
        <is>
          <t>ユニットテスト</t>
        </is>
      </c>
      <c r="D19" s="12" t="inlineStr">
        <is>
          <t>EventCommentServiceの正常系・異常系（削除権限）テスト</t>
        </is>
      </c>
      <c r="E19" s="12" t="inlineStr">
        <is>
          <t>テストコード</t>
        </is>
      </c>
      <c r="F19" s="12" t="inlineStr">
        <is>
          <t>O-1</t>
        </is>
      </c>
      <c r="G19" s="12" t="n">
        <v>1.5</v>
      </c>
      <c r="H19" s="12" t="inlineStr">
        <is>
          <t>着手中</t>
        </is>
      </c>
      <c r="I19" s="23" t="n">
        <v>46289</v>
      </c>
      <c r="J19" s="12" t="n"/>
      <c r="K19" s="12" t="inlineStr">
        <is>
          <t>ユニットテスト成功。PR#6マージ待ち</t>
        </is>
      </c>
    </row>
    <row r="20" ht="26" customHeight="1" s="1">
      <c r="A20" s="11" t="inlineStr">
        <is>
          <t>P</t>
        </is>
      </c>
      <c r="B20" s="11" t="inlineStr">
        <is>
          <t>バックエンド実装（当日受付）</t>
        </is>
      </c>
      <c r="C20" s="11" t="n"/>
      <c r="D20" s="11" t="n"/>
      <c r="E20" s="11" t="n"/>
      <c r="F20" s="11" t="n"/>
      <c r="G20" s="11" t="n">
        <v>4</v>
      </c>
      <c r="H20" s="11" t="n"/>
      <c r="I20" s="24" t="n"/>
      <c r="J20" s="11" t="n"/>
      <c r="K20" s="11" t="n"/>
    </row>
    <row r="21" ht="36" customHeight="1" s="1">
      <c r="A21" s="12" t="inlineStr">
        <is>
          <t>P-1</t>
        </is>
      </c>
      <c r="B21" s="12" t="inlineStr">
        <is>
          <t>バックエンド実装（当日受付）</t>
        </is>
      </c>
      <c r="C21" s="12" t="inlineStr">
        <is>
          <t>受付APIの実装</t>
        </is>
      </c>
      <c r="D21" s="12" t="inlineStr">
        <is>
          <t>申込者一覧取得・チェックインAPI。API-18〜19（チェックイン可否チェックE8）</t>
        </is>
      </c>
      <c r="E21" s="12" t="inlineStr">
        <is>
          <t>API-18〜19</t>
        </is>
      </c>
      <c r="F21" s="12" t="inlineStr">
        <is>
          <t>J-1</t>
        </is>
      </c>
      <c r="G21" s="12" t="n">
        <v>3</v>
      </c>
      <c r="H21" s="12" t="inlineStr">
        <is>
          <t>着手中</t>
        </is>
      </c>
      <c r="I21" s="23" t="n">
        <v>46289</v>
      </c>
      <c r="J21" s="12" t="n"/>
      <c r="K21" s="12" t="inlineStr">
        <is>
          <t>PR#7作成・code-review対応済み。mainマージはユーザー承認待ち</t>
        </is>
      </c>
    </row>
    <row r="22" ht="36" customHeight="1" s="1">
      <c r="A22" s="12" t="inlineStr">
        <is>
          <t>P-2</t>
        </is>
      </c>
      <c r="B22" s="12" t="inlineStr">
        <is>
          <t>バックエンド実装（当日受付）</t>
        </is>
      </c>
      <c r="C22" s="12" t="inlineStr">
        <is>
          <t>ユニットテスト</t>
        </is>
      </c>
      <c r="D22" s="12" t="inlineStr">
        <is>
          <t>チェックイン可否チェックの正常系・異常系テスト</t>
        </is>
      </c>
      <c r="E22" s="12" t="inlineStr">
        <is>
          <t>テストコード</t>
        </is>
      </c>
      <c r="F22" s="12" t="inlineStr">
        <is>
          <t>P-1</t>
        </is>
      </c>
      <c r="G22" s="12" t="n">
        <v>1</v>
      </c>
      <c r="H22" s="12" t="inlineStr">
        <is>
          <t>着手中</t>
        </is>
      </c>
      <c r="I22" s="23" t="n">
        <v>46289</v>
      </c>
      <c r="J22" s="12" t="n"/>
      <c r="K22" s="12" t="inlineStr">
        <is>
          <t>ユニットテスト成功。PR#7マージ待ち</t>
        </is>
      </c>
    </row>
    <row r="23" ht="26" customHeight="1" s="1">
      <c r="A23" s="11" t="inlineStr">
        <is>
          <t>Q</t>
        </is>
      </c>
      <c r="B23" s="11" t="inlineStr">
        <is>
          <t>フロントエンド実装（一般ユーザー向け画面拡張）</t>
        </is>
      </c>
      <c r="C23" s="11" t="n"/>
      <c r="D23" s="11" t="n"/>
      <c r="E23" s="11" t="n"/>
      <c r="F23" s="11" t="n"/>
      <c r="G23" s="11" t="n">
        <v>20</v>
      </c>
      <c r="H23" s="11" t="n"/>
      <c r="I23" s="11" t="n"/>
      <c r="J23" s="11" t="n"/>
      <c r="K23" s="11" t="n"/>
    </row>
    <row r="24" ht="54" customHeight="1" s="1">
      <c r="A24" s="12" t="inlineStr">
        <is>
          <t>Q-1</t>
        </is>
      </c>
      <c r="B24" s="12" t="inlineStr">
        <is>
          <t>フロントエンド実装（一般ユーザー向け画面拡張）</t>
        </is>
      </c>
      <c r="C24" s="12" t="inlineStr">
        <is>
          <t>カテゴリ絞り込み</t>
        </is>
      </c>
      <c r="D24" s="12" t="inlineStr">
        <is>
          <t>イベント検索画面にカテゴリ条件を追加（フロント側フィルタ）→ 実装後、既存イベントにカテゴリ登録が1件も無く不要と判断され撤去</t>
        </is>
      </c>
      <c r="E24" s="12" t="inlineStr">
        <is>
          <t>更新済みevent-search</t>
        </is>
      </c>
      <c r="F24" s="12" t="inlineStr">
        <is>
          <t>L-1</t>
        </is>
      </c>
      <c r="G24" s="12" t="n">
        <v>2</v>
      </c>
      <c r="H24" s="12" t="inlineStr">
        <is>
          <t>完了（撤去）</t>
        </is>
      </c>
      <c r="I24" s="23" t="n">
        <v>46289</v>
      </c>
      <c r="J24" s="12" t="n"/>
      <c r="K24" s="12" t="inlineStr">
        <is>
          <t>PR#8で実装後、機能不要と判断し撤去（バックエンドevents.category列・関連DTO/画面も削除、2026-09-24）</t>
        </is>
      </c>
    </row>
    <row r="25" ht="54" customHeight="1" s="1">
      <c r="A25" s="12" t="inlineStr">
        <is>
          <t>Q-2</t>
        </is>
      </c>
      <c r="B25" s="12" t="inlineStr">
        <is>
          <t>フロントエンド実装（一般ユーザー向け画面拡張）</t>
        </is>
      </c>
      <c r="C25" s="12" t="inlineStr">
        <is>
          <t>開催カレンダー表示</t>
        </is>
      </c>
      <c r="D25" s="12" t="inlineStr">
        <is>
          <t>イベント一覧にカレンダー表示への切り替えを追加</t>
        </is>
      </c>
      <c r="E25" s="12" t="inlineStr">
        <is>
          <t>更新済みevent-list</t>
        </is>
      </c>
      <c r="F25" s="12" t="inlineStr">
        <is>
          <t>L-1</t>
        </is>
      </c>
      <c r="G25" s="12" t="n">
        <v>5</v>
      </c>
      <c r="H25" s="12" t="inlineStr">
        <is>
          <t>着手中</t>
        </is>
      </c>
      <c r="I25" s="23" t="n">
        <v>46289</v>
      </c>
      <c r="J25" s="12" t="n"/>
      <c r="K25" s="12" t="inlineStr">
        <is>
          <t>PR#8作成・code-review対応済み。PR#4〜7マージ後にmainマージ予定</t>
        </is>
      </c>
    </row>
    <row r="26" ht="54" customHeight="1" s="1">
      <c r="A26" s="12" t="inlineStr">
        <is>
          <t>Q-3</t>
        </is>
      </c>
      <c r="B26" s="12" t="inlineStr">
        <is>
          <t>フロントエンド実装（一般ユーザー向け画面拡張）</t>
        </is>
      </c>
      <c r="C26" s="12" t="inlineStr">
        <is>
          <t>イベント詳細の拡張</t>
        </is>
      </c>
      <c r="D26" s="12" t="inlineStr">
        <is>
          <t>主催者・画像の表示、区分選択UI、アンケート回答欄をイベント詳細に追加</t>
        </is>
      </c>
      <c r="E26" s="12" t="inlineStr">
        <is>
          <t>更新済みevent-detail</t>
        </is>
      </c>
      <c r="F26" s="12" t="inlineStr">
        <is>
          <t>L-2,M-1</t>
        </is>
      </c>
      <c r="G26" s="12" t="n">
        <v>5</v>
      </c>
      <c r="H26" s="12" t="inlineStr">
        <is>
          <t>着手中</t>
        </is>
      </c>
      <c r="I26" s="23" t="n">
        <v>46289</v>
      </c>
      <c r="J26" s="12" t="n"/>
      <c r="K26" s="12" t="inlineStr">
        <is>
          <t>PR#8作成・code-review対応済み。PR#4〜7マージ後にmainマージ予定</t>
        </is>
      </c>
    </row>
    <row r="27" ht="54" customHeight="1" s="1">
      <c r="A27" s="12" t="inlineStr">
        <is>
          <t>Q-4</t>
        </is>
      </c>
      <c r="B27" s="12" t="inlineStr">
        <is>
          <t>フロントエンド実装（一般ユーザー向け画面拡張）</t>
        </is>
      </c>
      <c r="C27" s="12" t="inlineStr">
        <is>
          <t>お気に入りボタン</t>
        </is>
      </c>
      <c r="D27" s="12" t="inlineStr">
        <is>
          <t>イベント一覧・詳細にお気に入りボタンを追加</t>
        </is>
      </c>
      <c r="E27" s="12" t="inlineStr">
        <is>
          <t>更新済みevent-list/event-detail</t>
        </is>
      </c>
      <c r="F27" s="12" t="inlineStr">
        <is>
          <t>N-1</t>
        </is>
      </c>
      <c r="G27" s="12" t="n">
        <v>2</v>
      </c>
      <c r="H27" s="12" t="inlineStr">
        <is>
          <t>着手中</t>
        </is>
      </c>
      <c r="I27" s="23" t="n">
        <v>46289</v>
      </c>
      <c r="J27" s="12" t="n"/>
      <c r="K27" s="12" t="inlineStr">
        <is>
          <t>PR#8作成・code-review対応済み。PR#4〜7マージ後にmainマージ予定</t>
        </is>
      </c>
    </row>
    <row r="28" ht="54" customHeight="1" s="1">
      <c r="A28" s="12" t="inlineStr">
        <is>
          <t>Q-5</t>
        </is>
      </c>
      <c r="B28" s="12" t="inlineStr">
        <is>
          <t>フロントエンド実装（一般ユーザー向け画面拡張）</t>
        </is>
      </c>
      <c r="C28" s="12" t="inlineStr">
        <is>
          <t>コメント欄</t>
        </is>
      </c>
      <c r="D28" s="12" t="inlineStr">
        <is>
          <t>イベント詳細にコメント投稿・一覧・削除UIを追加</t>
        </is>
      </c>
      <c r="E28" s="12" t="inlineStr">
        <is>
          <t>更新済みevent-detail</t>
        </is>
      </c>
      <c r="F28" s="12" t="inlineStr">
        <is>
          <t>O-1</t>
        </is>
      </c>
      <c r="G28" s="12" t="n">
        <v>3</v>
      </c>
      <c r="H28" s="12" t="inlineStr">
        <is>
          <t>着手中</t>
        </is>
      </c>
      <c r="I28" s="23" t="n">
        <v>46289</v>
      </c>
      <c r="J28" s="12" t="n"/>
      <c r="K28" s="12" t="inlineStr">
        <is>
          <t>PR#8作成・code-review対応済み。PR#4〜7マージ後にmainマージ予定</t>
        </is>
      </c>
    </row>
    <row r="29" ht="54" customHeight="1" s="1">
      <c r="A29" s="12" t="inlineStr">
        <is>
          <t>Q-6</t>
        </is>
      </c>
      <c r="B29" s="12" t="inlineStr">
        <is>
          <t>フロントエンド実装（一般ユーザー向け画面拡張）</t>
        </is>
      </c>
      <c r="C29" s="12" t="inlineStr">
        <is>
          <t>マイページの拡張</t>
        </is>
      </c>
      <c r="D29" s="12" t="inlineStr">
        <is>
          <t>キャンセル待ち順位の表示、お気に入りタブを追加</t>
        </is>
      </c>
      <c r="E29" s="12" t="inlineStr">
        <is>
          <t>更新済みmy-applications</t>
        </is>
      </c>
      <c r="F29" s="12" t="inlineStr">
        <is>
          <t>M-2,N-1</t>
        </is>
      </c>
      <c r="G29" s="12" t="n">
        <v>3</v>
      </c>
      <c r="H29" s="12" t="inlineStr">
        <is>
          <t>着手中</t>
        </is>
      </c>
      <c r="I29" s="23" t="n">
        <v>46289</v>
      </c>
      <c r="J29" s="12" t="n"/>
      <c r="K29" s="12" t="inlineStr">
        <is>
          <t>PR#8作成・code-review対応済み。PR#4〜7マージ後にmainマージ予定</t>
        </is>
      </c>
    </row>
    <row r="30" ht="26" customHeight="1" s="1">
      <c r="A30" s="11" t="inlineStr">
        <is>
          <t>R</t>
        </is>
      </c>
      <c r="B30" s="11" t="inlineStr">
        <is>
          <t>フロントエンド実装（管理者向け画面拡張）</t>
        </is>
      </c>
      <c r="C30" s="11" t="n"/>
      <c r="D30" s="11" t="n"/>
      <c r="E30" s="11" t="n"/>
      <c r="F30" s="11" t="n"/>
      <c r="G30" s="11" t="n">
        <v>9</v>
      </c>
      <c r="H30" s="11" t="n"/>
      <c r="I30" s="11" t="n"/>
      <c r="J30" s="11" t="n"/>
      <c r="K30" s="11" t="n"/>
    </row>
    <row r="31" ht="36" customHeight="1" s="1">
      <c r="A31" s="12" t="inlineStr">
        <is>
          <t>R-1</t>
        </is>
      </c>
      <c r="B31" s="12" t="inlineStr">
        <is>
          <t>フロントエンド実装（管理者向け画面拡張）</t>
        </is>
      </c>
      <c r="C31" s="12" t="inlineStr">
        <is>
          <t>イベント登録・編集フォームの拡張</t>
        </is>
      </c>
      <c r="D31" s="12" t="inlineStr">
        <is>
          <t>主催者名・画像URL・アンケート文言・区分（複数、追加/削除可能）の入力欄を追加</t>
        </is>
      </c>
      <c r="E31" s="12" t="inlineStr">
        <is>
          <t>更新済みadmin-event-form</t>
        </is>
      </c>
      <c r="F31" s="12" t="inlineStr">
        <is>
          <t>L-1,L-2</t>
        </is>
      </c>
      <c r="G31" s="12" t="n">
        <v>5</v>
      </c>
      <c r="H31" s="12" t="inlineStr">
        <is>
          <t>着手中</t>
        </is>
      </c>
      <c r="I31" s="23" t="n">
        <v>46289</v>
      </c>
      <c r="J31" s="12" t="n"/>
      <c r="K31" s="12" t="inlineStr">
        <is>
          <t>PR#8作成・code-review対応済み。PR#4〜7マージ後にmainマージ予定</t>
        </is>
      </c>
    </row>
    <row r="32" ht="36" customHeight="1" s="1">
      <c r="A32" s="12" t="inlineStr">
        <is>
          <t>R-2</t>
        </is>
      </c>
      <c r="B32" s="12" t="inlineStr">
        <is>
          <t>フロントエンド実装（管理者向け画面拡張）</t>
        </is>
      </c>
      <c r="C32" s="12" t="inlineStr">
        <is>
          <t>当日受付画面（新規）</t>
        </is>
      </c>
      <c r="D32" s="12" t="inlineStr">
        <is>
          <t>SC-06：申込者一覧表示・チェックインボタン。ルーティング追加</t>
        </is>
      </c>
      <c r="E32" s="12" t="inlineStr">
        <is>
          <t>新規admin-checkin画面</t>
        </is>
      </c>
      <c r="F32" s="12" t="inlineStr">
        <is>
          <t>P-1</t>
        </is>
      </c>
      <c r="G32" s="12" t="n">
        <v>4</v>
      </c>
      <c r="H32" s="12" t="inlineStr">
        <is>
          <t>着手中</t>
        </is>
      </c>
      <c r="I32" s="23" t="n">
        <v>46289</v>
      </c>
      <c r="J32" s="12" t="n"/>
      <c r="K32" s="12" t="inlineStr">
        <is>
          <t>PR#8作成・code-review対応済み。PR#4〜7マージ後にmainマージ予定</t>
        </is>
      </c>
    </row>
    <row r="33">
      <c r="A33" s="11" t="inlineStr">
        <is>
          <t>S</t>
        </is>
      </c>
      <c r="B33" s="11" t="inlineStr">
        <is>
          <t>テスト・結合確認</t>
        </is>
      </c>
      <c r="C33" s="11" t="n"/>
      <c r="D33" s="11" t="n"/>
      <c r="E33" s="11" t="n"/>
      <c r="F33" s="11" t="n"/>
      <c r="G33" s="11" t="n">
        <v>7</v>
      </c>
      <c r="H33" s="11" t="n"/>
      <c r="I33" s="11" t="n"/>
      <c r="J33" s="11" t="n"/>
      <c r="K33" s="11" t="n"/>
    </row>
    <row r="34" ht="36" customHeight="1" s="1">
      <c r="A34" s="12" t="inlineStr">
        <is>
          <t>S-1</t>
        </is>
      </c>
      <c r="B34" s="12" t="inlineStr">
        <is>
          <t>テスト・結合確認</t>
        </is>
      </c>
      <c r="C34" s="12" t="inlineStr">
        <is>
          <t>結合テスト追加</t>
        </is>
      </c>
      <c r="D34" s="12" t="inlineStr">
        <is>
          <t>新機能（区分申込・お気に入り・コメント・チェックイン）のAPI/DB結合確認</t>
        </is>
      </c>
      <c r="E34" s="12" t="inlineStr">
        <is>
          <t>テストコード</t>
        </is>
      </c>
      <c r="F34" s="12" t="inlineStr">
        <is>
          <t>Q,R</t>
        </is>
      </c>
      <c r="G34" s="12" t="n">
        <v>3</v>
      </c>
      <c r="H34" s="12" t="inlineStr">
        <is>
          <t>未着手</t>
        </is>
      </c>
      <c r="I34" s="12" t="n"/>
      <c r="J34" s="12" t="n"/>
      <c r="K34" s="12" t="n"/>
    </row>
    <row r="35" ht="36" customHeight="1" s="1">
      <c r="A35" s="12" t="inlineStr">
        <is>
          <t>S-2</t>
        </is>
      </c>
      <c r="B35" s="12" t="inlineStr">
        <is>
          <t>テスト・結合確認</t>
        </is>
      </c>
      <c r="C35" s="12" t="inlineStr">
        <is>
          <t>STシナリオ更新</t>
        </is>
      </c>
      <c r="D35" s="12" t="inlineStr">
        <is>
          <t>一般・管理者シナリオに新機能（区分選択・お気に入り・コメント・受付）を反映</t>
        </is>
      </c>
      <c r="E35" s="12" t="inlineStr">
        <is>
          <t>更新済みSTシナリオ</t>
        </is>
      </c>
      <c r="F35" s="12" t="inlineStr">
        <is>
          <t>S-1</t>
        </is>
      </c>
      <c r="G35" s="12" t="n">
        <v>2</v>
      </c>
      <c r="H35" s="12" t="inlineStr">
        <is>
          <t>未着手</t>
        </is>
      </c>
      <c r="I35" s="12" t="n"/>
      <c r="J35" s="12" t="n"/>
      <c r="K35" s="12" t="n"/>
    </row>
    <row r="36">
      <c r="A36" s="12" t="inlineStr">
        <is>
          <t>S-3</t>
        </is>
      </c>
      <c r="B36" s="12" t="inlineStr">
        <is>
          <t>テスト・結合確認</t>
        </is>
      </c>
      <c r="C36" s="12" t="inlineStr">
        <is>
          <t>バグ修正・再テスト</t>
        </is>
      </c>
      <c r="D36" s="12" t="inlineStr">
        <is>
          <t>動作確認で見つかった不具合の修正と再テスト</t>
        </is>
      </c>
      <c r="E36" s="12" t="inlineStr">
        <is>
          <t>バグチケット</t>
        </is>
      </c>
      <c r="F36" s="12" t="inlineStr">
        <is>
          <t>S-2</t>
        </is>
      </c>
      <c r="G36" s="12" t="n">
        <v>2</v>
      </c>
      <c r="H36" s="12" t="inlineStr">
        <is>
          <t>未着手</t>
        </is>
      </c>
      <c r="I36" s="12" t="n"/>
      <c r="J36" s="12" t="n"/>
      <c r="K36" s="12" t="n"/>
    </row>
    <row r="37">
      <c r="A37" s="11" t="inlineStr">
        <is>
          <t>T</t>
        </is>
      </c>
      <c r="B37" s="11" t="inlineStr">
        <is>
          <t>発表準備</t>
        </is>
      </c>
      <c r="C37" s="11" t="n"/>
      <c r="D37" s="11" t="n"/>
      <c r="E37" s="11" t="n"/>
      <c r="F37" s="11" t="n"/>
      <c r="G37" s="11" t="n">
        <v>10</v>
      </c>
      <c r="H37" s="11" t="n"/>
      <c r="I37" s="11" t="n"/>
      <c r="J37" s="11" t="n"/>
      <c r="K37" s="11" t="n"/>
    </row>
    <row r="38">
      <c r="A38" s="12" t="inlineStr">
        <is>
          <t>T-1</t>
        </is>
      </c>
      <c r="B38" s="12" t="inlineStr">
        <is>
          <t>発表準備</t>
        </is>
      </c>
      <c r="C38" s="12" t="inlineStr">
        <is>
          <t>発表資料作成</t>
        </is>
      </c>
      <c r="D38" s="12" t="inlineStr">
        <is>
          <t>9スライド構成（表紙〜まとめ）で資料作成</t>
        </is>
      </c>
      <c r="E38" s="12" t="inlineStr">
        <is>
          <t>発表資料</t>
        </is>
      </c>
      <c r="F38" s="12" t="inlineStr">
        <is>
          <t>S</t>
        </is>
      </c>
      <c r="G38" s="12" t="n">
        <v>4</v>
      </c>
      <c r="H38" s="12" t="inlineStr">
        <is>
          <t>未着手</t>
        </is>
      </c>
      <c r="I38" s="12" t="n"/>
      <c r="J38" s="12" t="n"/>
      <c r="K38" s="12" t="n"/>
    </row>
    <row r="39" ht="36" customHeight="1" s="1">
      <c r="A39" s="12" t="inlineStr">
        <is>
          <t>T-2</t>
        </is>
      </c>
      <c r="B39" s="12" t="inlineStr">
        <is>
          <t>発表準備</t>
        </is>
      </c>
      <c r="C39" s="12" t="inlineStr">
        <is>
          <t>デモシナリオ・データ準備</t>
        </is>
      </c>
      <c r="D39" s="12" t="inlineStr">
        <is>
          <t>一般→管理者の一連の操作シナリオ、エラーを起こせるデータを準備</t>
        </is>
      </c>
      <c r="E39" s="12" t="inlineStr">
        <is>
          <t>デモシナリオ</t>
        </is>
      </c>
      <c r="F39" s="12" t="inlineStr">
        <is>
          <t>S</t>
        </is>
      </c>
      <c r="G39" s="12" t="n">
        <v>2</v>
      </c>
      <c r="H39" s="12" t="inlineStr">
        <is>
          <t>未着手</t>
        </is>
      </c>
      <c r="I39" s="12" t="n"/>
      <c r="J39" s="12" t="n"/>
      <c r="K39" s="12" t="n"/>
    </row>
    <row r="40">
      <c r="A40" s="12" t="inlineStr">
        <is>
          <t>T-3</t>
        </is>
      </c>
      <c r="B40" s="12" t="inlineStr">
        <is>
          <t>発表準備</t>
        </is>
      </c>
      <c r="C40" s="12" t="inlineStr">
        <is>
          <t>リハーサル</t>
        </is>
      </c>
      <c r="D40" s="12" t="inlineStr">
        <is>
          <t>所要時間計測、最低1回実施</t>
        </is>
      </c>
      <c r="E40" s="12" t="inlineStr">
        <is>
          <t>リハーサル記録</t>
        </is>
      </c>
      <c r="F40" s="12" t="inlineStr">
        <is>
          <t>T-1,T-2</t>
        </is>
      </c>
      <c r="G40" s="12" t="n">
        <v>1</v>
      </c>
      <c r="H40" s="12" t="inlineStr">
        <is>
          <t>未着手</t>
        </is>
      </c>
      <c r="I40" s="12" t="n"/>
      <c r="J40" s="12" t="n"/>
      <c r="K40" s="12" t="n"/>
    </row>
    <row r="41">
      <c r="A41" s="12" t="inlineStr">
        <is>
          <t>T-4</t>
        </is>
      </c>
      <c r="B41" s="12" t="inlineStr">
        <is>
          <t>発表準備</t>
        </is>
      </c>
      <c r="C41" s="12" t="inlineStr">
        <is>
          <t>発表・質疑</t>
        </is>
      </c>
      <c r="D41" s="12" t="inlineStr">
        <is>
          <t>本番の発表・質疑応答</t>
        </is>
      </c>
      <c r="E41" s="12" t="inlineStr">
        <is>
          <t>-</t>
        </is>
      </c>
      <c r="F41" s="12" t="inlineStr">
        <is>
          <t>T-3</t>
        </is>
      </c>
      <c r="G41" s="12" t="n">
        <v>1</v>
      </c>
      <c r="H41" s="12" t="inlineStr">
        <is>
          <t>未着手</t>
        </is>
      </c>
      <c r="I41" s="12" t="n"/>
      <c r="J41" s="12" t="n"/>
      <c r="K41" s="12" t="n"/>
    </row>
    <row r="42" ht="36" customHeight="1" s="1">
      <c r="A42" s="12" t="inlineStr">
        <is>
          <t>T-5</t>
        </is>
      </c>
      <c r="B42" s="12" t="inlineStr">
        <is>
          <t>発表準備</t>
        </is>
      </c>
      <c r="C42" s="12" t="inlineStr">
        <is>
          <t>振り返りシート作成</t>
        </is>
      </c>
      <c r="D42" s="12" t="inlineStr">
        <is>
          <t>技術面・プロジェクト面・AI駆動開発面（教材ID明記）</t>
        </is>
      </c>
      <c r="E42" s="12" t="inlineStr">
        <is>
          <t>振り返りシート</t>
        </is>
      </c>
      <c r="F42" s="12" t="inlineStr">
        <is>
          <t>T-4</t>
        </is>
      </c>
      <c r="G42" s="12" t="n">
        <v>2</v>
      </c>
      <c r="H42" s="12" t="inlineStr">
        <is>
          <t>未着手</t>
        </is>
      </c>
      <c r="I42" s="12" t="n"/>
      <c r="J42" s="12" t="n"/>
      <c r="K42" s="12" t="n"/>
    </row>
    <row r="43" ht="26" customHeight="1" s="1">
      <c r="A43" s="11" t="inlineStr">
        <is>
          <t>U</t>
        </is>
      </c>
      <c r="B43" s="11" t="inlineStr">
        <is>
          <t>実装調査・as-built設計書作成</t>
        </is>
      </c>
      <c r="C43" s="11" t="n"/>
      <c r="D43" s="11" t="n"/>
      <c r="E43" s="11" t="n"/>
      <c r="F43" s="11" t="n"/>
      <c r="G43" s="11" t="n">
        <v>8</v>
      </c>
      <c r="H43" s="11" t="n"/>
      <c r="I43" s="11" t="n"/>
      <c r="J43" s="11" t="n"/>
      <c r="K43" s="11" t="n"/>
    </row>
    <row r="44" ht="126" customHeight="1" s="1">
      <c r="A44" s="12" t="inlineStr">
        <is>
          <t>U-1</t>
        </is>
      </c>
      <c r="B44" s="12" t="inlineStr">
        <is>
          <t>実装調査・as-built設計書作成</t>
        </is>
      </c>
      <c r="C44" s="12" t="inlineStr">
        <is>
          <t>既存実装のリバースエンジニアリング調査</t>
        </is>
      </c>
      <c r="D44" s="12" t="inlineStr">
        <is>
          <t>バックエンド（Controller/Service/Repository/Entity/DTO全ファイル）・フロントエンド（全コンポーネント・ルーティング）・DB定義を実際のソースコードから読解。ビルド・自動テスト実行（backend 61件・frontend 2件）、curl実行によるAPI疎通確認（約25パターン）、稼働中DBとschema.sqlの突合を実施</t>
        </is>
      </c>
      <c r="E44" s="12" t="inlineStr">
        <is>
          <t>確認ログ（会話記録）</t>
        </is>
      </c>
      <c r="F44" s="12" t="inlineStr">
        <is>
          <t>―</t>
        </is>
      </c>
      <c r="G44" s="12" t="n">
        <v>3</v>
      </c>
      <c r="H44" s="12" t="inlineStr">
        <is>
          <t>着手中</t>
        </is>
      </c>
      <c r="I44" s="16" t="n">
        <v>46289</v>
      </c>
      <c r="J44" s="25" t="n"/>
      <c r="K44" s="12" t="inlineStr">
        <is>
          <t>既存のdocs/design配下の設計書やコメントは参考情報に留め、コード・実行結果から独立に事実を確認する方針で実施</t>
        </is>
      </c>
    </row>
    <row r="45" ht="72" customHeight="1" s="1">
      <c r="A45" s="12" t="inlineStr">
        <is>
          <t>U-2</t>
        </is>
      </c>
      <c r="B45" s="12" t="inlineStr">
        <is>
          <t>実装調査・as-built設計書作成</t>
        </is>
      </c>
      <c r="C45" s="12" t="inlineStr">
        <is>
          <t>as-built設計書の作成</t>
        </is>
      </c>
      <c r="D45" s="12" t="inlineStr">
        <is>
          <t>U-1の調査結果を基に、要件定義書・テーブル定義書（ER図）・API設計書・画面設計書・画面遷移図・実装事実一覧（根拠ファイル対応表）・未確認事項の7点を新規作成</t>
        </is>
      </c>
      <c r="E45" s="12" t="inlineStr">
        <is>
          <t>docs/01_要件定義書.md〜docs/07_未確認事項.md（7ファイル）</t>
        </is>
      </c>
      <c r="F45" s="12" t="inlineStr">
        <is>
          <t>U-1</t>
        </is>
      </c>
      <c r="G45" s="12" t="n">
        <v>5</v>
      </c>
      <c r="H45" s="12" t="inlineStr">
        <is>
          <t>着手中</t>
        </is>
      </c>
      <c r="I45" s="16" t="n">
        <v>46289</v>
      </c>
      <c r="J45" s="25" t="n"/>
      <c r="K45" s="12" t="inlineStr">
        <is>
          <t>既存のM〜R工程（PR#4〜8）とは独立した棚卸しタスク。マージ状況には影響しない</t>
        </is>
      </c>
    </row>
    <row r="46">
      <c r="C46" s="0" t="inlineStr">
        <is>
          <t>合計（タスク工数）</t>
        </is>
      </c>
      <c r="G46" s="0">
        <f>SUMPRODUCT((ISNUMBER(SEARCH("-",A4:A45)))*G4:G45)</f>
        <v/>
      </c>
    </row>
  </sheetData>
  <conditionalFormatting sqref="A3:K42">
    <cfRule type="expression" priority="17" dxfId="7">
      <formula>$H3="未着手"</formula>
    </cfRule>
    <cfRule type="expression" priority="18" dxfId="6">
      <formula>$H3="着手中"</formula>
    </cfRule>
    <cfRule type="expression" priority="19" dxfId="5">
      <formula>$H3="完了"</formula>
    </cfRule>
    <cfRule type="expression" priority="20" dxfId="4">
      <formula>$H3="修正中"</formula>
    </cfRule>
  </conditionalFormatting>
  <conditionalFormatting sqref="H3:H42">
    <cfRule type="expression" priority="21" dxfId="3">
      <formula>$H3="未着手"</formula>
    </cfRule>
    <cfRule type="expression" priority="22" dxfId="2">
      <formula>$H3="着手中"</formula>
    </cfRule>
    <cfRule type="expression" priority="23" dxfId="1">
      <formula>$H3="完了"</formula>
    </cfRule>
    <cfRule type="expression" priority="24" dxfId="0">
      <formula>$H3="修正中"</formula>
    </cfRule>
  </conditionalFormatting>
  <conditionalFormatting sqref="H44:H45">
    <cfRule type="expression" priority="1" dxfId="7">
      <formula>$H44="未着手"</formula>
    </cfRule>
    <cfRule type="expression" priority="2" dxfId="6">
      <formula>$H44="着手中"</formula>
    </cfRule>
    <cfRule type="expression" priority="3" dxfId="5">
      <formula>$H44="完了"</formula>
    </cfRule>
    <cfRule type="expression" priority="4" dxfId="4">
      <formula>$H44="修正中"</formula>
    </cfRule>
    <cfRule type="expression" priority="5" dxfId="3">
      <formula>$H44="未着手"</formula>
    </cfRule>
    <cfRule type="expression" priority="6" dxfId="2">
      <formula>$H44="着手中"</formula>
    </cfRule>
    <cfRule type="expression" priority="7" dxfId="1">
      <formula>$H44="完了"</formula>
    </cfRule>
    <cfRule type="expression" priority="8" dxfId="0">
      <formula>$H44="修正中"</formula>
    </cfRule>
  </conditionalFormatting>
  <dataValidations count="1">
    <dataValidation sqref="H3:H42 H44:H45" showDropDown="0" showInputMessage="0" showErrorMessage="1" allowBlank="1" type="list">
      <formula1>"未着手,着手中,完了,修正中"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佐々木 健成</dc:creator>
  <dcterms:created xmlns:dcterms="http://purl.org/dc/terms/" xmlns:xsi="http://www.w3.org/2001/XMLSchema-instance" xsi:type="dcterms:W3CDTF">2026-09-09T08:26:06Z</dcterms:created>
  <dcterms:modified xmlns:dcterms="http://purl.org/dc/terms/" xmlns:xsi="http://www.w3.org/2001/XMLSchema-instance" xsi:type="dcterms:W3CDTF">2026-09-28T08:39:52Z</dcterms:modified>
  <cp:lastModifiedBy>佐々木 健成</cp:lastModifiedBy>
</cp:coreProperties>
</file>