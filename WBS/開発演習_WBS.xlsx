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ondics.sharepoint.com/sites/AIVer1.0/Shared Documents/作業チーム/チーム開発演習_test_佐々木/event-application-system/WBS/"/>
    </mc:Choice>
  </mc:AlternateContent>
  <xr:revisionPtr revIDLastSave="52" documentId="13_ncr:1_{D3131245-736F-482B-9426-83CAA6F0AA1A}" xr6:coauthVersionLast="47" xr6:coauthVersionMax="47" xr10:uidLastSave="{FE557208-E0D1-4265-84F6-A48FC68EC901}"/>
  <bookViews>
    <workbookView xWindow="-110" yWindow="-110" windowWidth="19420" windowHeight="10300" xr2:uid="{00000000-000D-0000-FFFF-FFFF00000000}"/>
  </bookViews>
  <sheets>
    <sheet name="WBS" sheetId="1" r:id="rId1"/>
    <sheet name="フェーズ別WB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F11" i="1"/>
  <c r="G47" i="3"/>
</calcChain>
</file>

<file path=xl/sharedStrings.xml><?xml version="1.0" encoding="utf-8"?>
<sst xmlns="http://schemas.openxmlformats.org/spreadsheetml/2006/main" count="342" uniqueCount="200">
  <si>
    <t>チーム開発演習 大枠WBS（1人用・イベント申込システム）</t>
  </si>
  <si>
    <t>No</t>
  </si>
  <si>
    <t>フェーズ</t>
  </si>
  <si>
    <t>主な作業内容</t>
  </si>
  <si>
    <t>主な成果物</t>
  </si>
  <si>
    <t>先行</t>
  </si>
  <si>
    <t>目安工数(h)</t>
  </si>
  <si>
    <t>目安日数</t>
  </si>
  <si>
    <t>状態</t>
  </si>
  <si>
    <t>開始日</t>
  </si>
  <si>
    <t>完了日</t>
  </si>
  <si>
    <t>備考・メモ</t>
  </si>
  <si>
    <t>A</t>
  </si>
  <si>
    <t>要件・設計</t>
  </si>
  <si>
    <t>テーマ/シナリオ確定、画面遷移図、API一覧、ER図・テーブル定義、業務ロジック仕様</t>
  </si>
  <si>
    <t>画面遷移図／API設計書／ER図／DDL草案</t>
  </si>
  <si>
    <t>―</t>
  </si>
  <si>
    <t>完了</t>
  </si>
  <si>
    <t>B</t>
  </si>
  <si>
    <t>環境構築・共通基盤</t>
  </si>
  <si>
    <t>GitHubリポジトリ＋Issue/PR運用、Angular・Spring Boot雛形、MySQL接続、ダミー認証・共通エラーハンドリング・Validation土台</t>
  </si>
  <si>
    <t>動くスケルトン一式</t>
  </si>
  <si>
    <t>C</t>
  </si>
  <si>
    <t>DB構築</t>
  </si>
  <si>
    <t>DDL適用（users／events／applications）、初期データ投入（ロール2種・ダミーユーザー・サンプルイベント）</t>
  </si>
  <si>
    <t>構築済みDB／seedスクリプト</t>
  </si>
  <si>
    <t>A,B</t>
  </si>
  <si>
    <t>D</t>
  </si>
  <si>
    <t>バックエンド実装（API）</t>
  </si>
  <si>
    <t>イベント系・申込系・集計（CSV）API、業務ロジック（定員超過／締切・日付）</t>
  </si>
  <si>
    <t>REST API 8本＋α／Service層ロジック</t>
  </si>
  <si>
    <t>E</t>
  </si>
  <si>
    <t>フロントエンド実装（画面）</t>
  </si>
  <si>
    <t>共通ルーティング／レイアウト／APIサービス、SC-01〜05、ロール分岐</t>
  </si>
  <si>
    <t>Angular SPA（Angular Routerによる画面遷移）</t>
  </si>
  <si>
    <t>F</t>
  </si>
  <si>
    <t>結合・動作確認</t>
  </si>
  <si>
    <t>画面→API→DB通し確認、SPA遷移確認、業務シナリオ4本の手動実行</t>
  </si>
  <si>
    <t>動作確認記録</t>
  </si>
  <si>
    <t>G</t>
  </si>
  <si>
    <t>テスト</t>
  </si>
  <si>
    <t>UT（最低4ケース）、API/DB結合テスト（8本中5本以上）、STシナリオ2本、バグチケット1件</t>
  </si>
  <si>
    <t>テストコード／STシナリオ／バグチケット</t>
  </si>
  <si>
    <t>修正中</t>
  </si>
  <si>
    <t>K</t>
  </si>
  <si>
    <t>レビュー・振り返り</t>
  </si>
  <si>
    <t>DoDチェック、PRレビュー→mainマージ、AIなし想定時間との比較振り返り</t>
  </si>
  <si>
    <t>DoDチェックリスト／振り返りメモ</t>
  </si>
  <si>
    <t>合計</t>
  </si>
  <si>
    <t>チーム開発演習 フェーズ別WBS（詳細・イベント申込システム）</t>
  </si>
  <si>
    <t>WBS No</t>
  </si>
  <si>
    <t>タスク</t>
  </si>
  <si>
    <t>作業内容</t>
  </si>
  <si>
    <t>成果物</t>
  </si>
  <si>
    <t>先行タスク</t>
  </si>
  <si>
    <t>A-1</t>
  </si>
  <si>
    <t>テーマ・業務シナリオ最終確認</t>
  </si>
  <si>
    <t>Sheet1の内容を確定。利用者像・業務シナリオ4本（一般2・管理者2）の整合を確認</t>
  </si>
  <si>
    <t>確定シナリオ</t>
  </si>
  <si>
    <t>A-2</t>
  </si>
  <si>
    <t>画面遷移図の作成</t>
  </si>
  <si>
    <t>SC-01〜05のルートパスとコンポーネント対応を決定。Angular Routerの遷移設計</t>
  </si>
  <si>
    <t>画面遷移図</t>
  </si>
  <si>
    <t>A-3</t>
  </si>
  <si>
    <t>API一覧の設計</t>
  </si>
  <si>
    <t>必須8本＋詳細取得のメソッド・パス・権限・リクエスト/レスポンス定義</t>
  </si>
  <si>
    <t>API設計書</t>
  </si>
  <si>
    <t>A-4</t>
  </si>
  <si>
    <t>ER図・テーブル定義</t>
  </si>
  <si>
    <t>users／events／applications のカラム・型・制約・FK、監査カラム(created_at/updated_at)</t>
  </si>
  <si>
    <t>ER図・テーブル定義書</t>
  </si>
  <si>
    <t>A-5</t>
  </si>
  <si>
    <t>業務ロジック仕様</t>
  </si>
  <si>
    <t>定員超過チェック、申込締切・日付チェックの条件と異常時挙動（400＋理由）</t>
  </si>
  <si>
    <t>ロジック仕様</t>
  </si>
  <si>
    <t>A-3,A-4</t>
  </si>
  <si>
    <t>B-1</t>
  </si>
  <si>
    <t>GitHubリポジトリ・運用ルール</t>
  </si>
  <si>
    <t>リポジトリ作成、Issue/PRテンプレート、ブランチ運用ルール</t>
  </si>
  <si>
    <t>リポジトリ</t>
  </si>
  <si>
    <t>B-2</t>
  </si>
  <si>
    <t>Angularプロジェクト雛形</t>
  </si>
  <si>
    <t>SPA初期化、ルーティング有効化、ビルド確認</t>
  </si>
  <si>
    <t>Angプロジェクト</t>
  </si>
  <si>
    <t>B-3</t>
  </si>
  <si>
    <t>Spring Bootプロジェクト雛形</t>
  </si>
  <si>
    <t>Controller/Service/Repository構成、起動確認</t>
  </si>
  <si>
    <t>SBプロジェクト</t>
  </si>
  <si>
    <t>B-4</t>
  </si>
  <si>
    <t>MySQL構築・接続確認</t>
  </si>
  <si>
    <t>DB作成、application.yml接続設定、疎通確認</t>
  </si>
  <si>
    <t>接続確認</t>
  </si>
  <si>
    <t>B-5</t>
  </si>
  <si>
    <t>共通基盤の実装</t>
  </si>
  <si>
    <t>ダミー認証（userId・role固定）、@ControllerAdvice、Bean Validation土台、CORS設定</t>
  </si>
  <si>
    <t>共通コード</t>
  </si>
  <si>
    <t>B-2,B-3,B-4</t>
  </si>
  <si>
    <t>C-1</t>
  </si>
  <si>
    <t>DDL適用</t>
  </si>
  <si>
    <t>users／events／applications 作成、制約・FK・インデックス</t>
  </si>
  <si>
    <t>スキーマ</t>
  </si>
  <si>
    <t>A-4,B-4</t>
  </si>
  <si>
    <t>C-2</t>
  </si>
  <si>
    <t>初期データ投入</t>
  </si>
  <si>
    <t>ロール2種、ダミーユーザー、サンプルイベント数件</t>
  </si>
  <si>
    <t>seedスクリプト</t>
  </si>
  <si>
    <t>D-1</t>
  </si>
  <si>
    <t>イベント一覧・詳細API</t>
  </si>
  <si>
    <t>GET /api/events、GET /api/events/{id}</t>
  </si>
  <si>
    <t>API</t>
  </si>
  <si>
    <t>D-2</t>
  </si>
  <si>
    <t>イベント登録・編集・削除API</t>
  </si>
  <si>
    <t>POST/PUT/DELETE /api/events(/{id})、管理者権限のみ</t>
  </si>
  <si>
    <t>D-3</t>
  </si>
  <si>
    <t>イベント申込API</t>
  </si>
  <si>
    <t>POST /api/applications、本人userIdに紐付け</t>
  </si>
  <si>
    <t>D-4</t>
  </si>
  <si>
    <t>自分の申込一覧API</t>
  </si>
  <si>
    <t>GET /api/my/applications、本人分のみ</t>
  </si>
  <si>
    <t>D-5</t>
  </si>
  <si>
    <t>申込キャンセルAPI</t>
  </si>
  <si>
    <t>DELETE /api/applications/{id}、本人のみ</t>
  </si>
  <si>
    <t>D-6</t>
  </si>
  <si>
    <t>申込実績CSV出力API</t>
  </si>
  <si>
    <t>GET /api/reports/applications、CSV生成、管理者のみ</t>
  </si>
  <si>
    <t>D-7</t>
  </si>
  <si>
    <t>業務ロジック実装</t>
  </si>
  <si>
    <t>定員超過チェック（D-3内）、締切・日付チェック、業務例外→400変換</t>
  </si>
  <si>
    <t>Service層ロジック</t>
  </si>
  <si>
    <t>D-8</t>
  </si>
  <si>
    <t>API手動疎通確認</t>
  </si>
  <si>
    <t>REST クライアントで必須8本＋αの動作を確認</t>
  </si>
  <si>
    <t>確認記録</t>
  </si>
  <si>
    <t>D-1〜D-7</t>
  </si>
  <si>
    <t>E-1</t>
  </si>
  <si>
    <t>共通（ルーティング・レイアウト・APIサービス）</t>
  </si>
  <si>
    <t>app.routes.ts、共通レイアウト、HttpClientサービス、エラーハンドリング</t>
  </si>
  <si>
    <t>共通モジュール</t>
  </si>
  <si>
    <t>B-2,D</t>
  </si>
  <si>
    <t>E-2</t>
  </si>
  <si>
    <t>SC-01 ログイン画面</t>
  </si>
  <si>
    <t>ダミーログイン、ロール保持、遷移</t>
  </si>
  <si>
    <t>画面</t>
  </si>
  <si>
    <t>E-3</t>
  </si>
  <si>
    <t>SC-02 イベント一覧・詳細・申込</t>
  </si>
  <si>
    <t>一覧表示、詳細表示、申込ボタン→申込完了表示</t>
  </si>
  <si>
    <t>E-1,D-1,D-3</t>
  </si>
  <si>
    <t>E-4</t>
  </si>
  <si>
    <t>SC-03 マイページ（申込一覧・キャンセル）</t>
  </si>
  <si>
    <t>自分の申込一覧、キャンセル操作</t>
  </si>
  <si>
    <t>E-1,D-4,D-5</t>
  </si>
  <si>
    <t>E-5</t>
  </si>
  <si>
    <t>SC-04 イベント管理画面（管理者）</t>
  </si>
  <si>
    <t>登録・編集・削除フォーム、管理用一覧</t>
  </si>
  <si>
    <t>E-1,D-2</t>
  </si>
  <si>
    <t>E-6</t>
  </si>
  <si>
    <t>SC-05 申込実績出力画面（管理者）</t>
  </si>
  <si>
    <t>申込数／定員充足率の表示、並び替え、CSVダウンロード</t>
  </si>
  <si>
    <t>E-1,D-6</t>
  </si>
  <si>
    <t>E-7</t>
  </si>
  <si>
    <t>ロール分岐・画面ガード</t>
  </si>
  <si>
    <t>一般／管理者でメニュー表示とルートアクセスを制御</t>
  </si>
  <si>
    <t>ガード</t>
  </si>
  <si>
    <t>F-1</t>
  </si>
  <si>
    <t>画面→API→DB 通し確認</t>
  </si>
  <si>
    <t>主要フローの疎通、SPA遷移（フルリロードが起きないこと）の確認</t>
  </si>
  <si>
    <t>F-2</t>
  </si>
  <si>
    <t>業務シナリオ手動実行</t>
  </si>
  <si>
    <t>一般2本・管理者2本のシナリオを通しで実行</t>
  </si>
  <si>
    <t>シナリオ結果</t>
  </si>
  <si>
    <t>G-1</t>
  </si>
  <si>
    <t>ユニットテスト（Service層）</t>
  </si>
  <si>
    <t>業務ロジックの正常系／異常系 最低4ケース、JUnit5＋Mockito</t>
  </si>
  <si>
    <t>テストコード</t>
  </si>
  <si>
    <t>G-2</t>
  </si>
  <si>
    <t>API/DB結合テスト</t>
  </si>
  <si>
    <t>必須API 8本のうち5本以上</t>
  </si>
  <si>
    <t>G-3</t>
  </si>
  <si>
    <t>STシナリオ（総合）</t>
  </si>
  <si>
    <t>一般ユーザー視点1本＋管理者視点1本</t>
  </si>
  <si>
    <t>STシナリオ</t>
  </si>
  <si>
    <t>G-4</t>
  </si>
  <si>
    <t>バグチケット対応</t>
  </si>
  <si>
    <t>1件以上を起票 → 修正 → 再テスト</t>
  </si>
  <si>
    <t>バグチケット</t>
  </si>
  <si>
    <t>G-1〜G-3</t>
  </si>
  <si>
    <t>H</t>
  </si>
  <si>
    <t>H-1</t>
  </si>
  <si>
    <t>DoDチェック</t>
  </si>
  <si>
    <t>技術仕様書§8の完了条件を1項目ずつ確認</t>
  </si>
  <si>
    <t>チェックリスト</t>
  </si>
  <si>
    <t>H-2</t>
  </si>
  <si>
    <t>PRレビュー・mainマージ</t>
  </si>
  <si>
    <t>差分レビュー（Claude＋目視）、mainへマージ</t>
  </si>
  <si>
    <t>マージ済みコード</t>
  </si>
  <si>
    <t>H-3</t>
  </si>
  <si>
    <t>振り返り</t>
  </si>
  <si>
    <t>AIなし想定時間との比較、教材化に向けたメモ</t>
  </si>
  <si>
    <t>振り返りメモ</t>
  </si>
  <si>
    <t>合計（タスク工数）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</si>
</sst>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b/>
      <sz val="1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vertical="top" wrapText="1"/>
    </xf>
    <xf numFmtId="0" fontId="4" fillId="0" borderId="0" xfId="0" applyFont="1" applyAlignment="1"/>
    <xf numFmtId="0" fontId="4" fillId="3" borderId="1" xfId="0" applyFont="1" applyFill="1" applyBorder="1" applyAlignment="1">
      <alignment vertical="top" wrapText="1"/>
    </xf>
  </cellXfs>
  <cellStyles count="1">
    <cellStyle name="標準" xfId="0" builtinId="0"/>
  </cellStyles>
  <dxfs count="16">
    <dxf>
      <font>
        <b/>
        <color rgb="FFFFFFFF"/>
      </font>
      <fill>
        <patternFill patternType="solid">
          <fgColor rgb="FFFF7043"/>
          <bgColor rgb="FFFF7043"/>
        </patternFill>
      </fill>
    </dxf>
    <dxf>
      <font>
        <b/>
        <color rgb="FF7F7F7F"/>
      </font>
      <fill>
        <patternFill patternType="solid">
          <fgColor rgb="FFBFBFBF"/>
          <bgColor rgb="FFBFBFBF"/>
        </patternFill>
      </fill>
    </dxf>
    <dxf>
      <font>
        <b/>
        <color rgb="FF000000"/>
      </font>
      <fill>
        <patternFill patternType="solid">
          <fgColor rgb="FFFFE066"/>
          <bgColor rgb="FFFFE066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BE0D5"/>
          <bgColor rgb="FFFBE0D5"/>
        </patternFill>
      </fill>
    </dxf>
    <dxf>
      <font>
        <color rgb="FF808080"/>
      </font>
      <fill>
        <patternFill patternType="solid">
          <fgColor rgb="FFE4E4E4"/>
          <bgColor rgb="FFE4E4E4"/>
        </patternFill>
      </fill>
    </dxf>
    <dxf>
      <font>
        <color rgb="FF000000"/>
      </font>
      <fill>
        <patternFill patternType="solid">
          <fgColor rgb="FFFFF7DB"/>
          <bgColor rgb="FFFFF7DB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FF7043"/>
          <bgColor rgb="FFFF7043"/>
        </patternFill>
      </fill>
    </dxf>
    <dxf>
      <font>
        <b/>
        <color rgb="FF7F7F7F"/>
      </font>
      <fill>
        <patternFill patternType="solid">
          <fgColor rgb="FFBFBFBF"/>
          <bgColor rgb="FFBFBFBF"/>
        </patternFill>
      </fill>
    </dxf>
    <dxf>
      <font>
        <b/>
        <color rgb="FF000000"/>
      </font>
      <fill>
        <patternFill patternType="solid">
          <fgColor rgb="FFFFE066"/>
          <bgColor rgb="FFFFE066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BE0D5"/>
          <bgColor rgb="FFFBE0D5"/>
        </patternFill>
      </fill>
    </dxf>
    <dxf>
      <font>
        <color rgb="FF808080"/>
      </font>
      <fill>
        <patternFill patternType="solid">
          <fgColor rgb="FFE4E4E4"/>
          <bgColor rgb="FFE4E4E4"/>
        </patternFill>
      </fill>
    </dxf>
    <dxf>
      <font>
        <color rgb="FF000000"/>
      </font>
      <fill>
        <patternFill patternType="solid">
          <fgColor rgb="FFFFF7DB"/>
          <bgColor rgb="FFFFF7DB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pane xSplit="2" ySplit="2" topLeftCell="C7" activePane="bottomRight" state="frozen"/>
      <selection pane="topRight"/>
      <selection pane="bottomLeft"/>
      <selection pane="bottomRight" activeCell="F13" sqref="F13"/>
    </sheetView>
  </sheetViews>
  <sheetFormatPr defaultRowHeight="18" x14ac:dyDescent="0.55000000000000004"/>
  <cols>
    <col min="1" max="1" width="6" style="1" customWidth="1"/>
    <col min="2" max="2" width="20" style="1" customWidth="1"/>
    <col min="3" max="3" width="46" style="1" customWidth="1"/>
    <col min="4" max="4" width="30" style="1" customWidth="1"/>
    <col min="5" max="5" width="8" style="1" customWidth="1"/>
    <col min="6" max="6" width="11" style="1" customWidth="1"/>
    <col min="7" max="8" width="10" style="1" customWidth="1"/>
    <col min="9" max="10" width="12" style="1" customWidth="1"/>
    <col min="11" max="11" width="30" style="1" customWidth="1"/>
  </cols>
  <sheetData>
    <row r="1" spans="1:11" ht="21.65" customHeight="1" x14ac:dyDescent="0.65">
      <c r="A1" s="2" t="s">
        <v>0</v>
      </c>
    </row>
    <row r="2" spans="1:11" x14ac:dyDescent="0.5500000000000000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36" customHeight="1" x14ac:dyDescent="0.55000000000000004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>
        <v>9</v>
      </c>
      <c r="G3" s="4">
        <v>1</v>
      </c>
      <c r="H3" s="5" t="s">
        <v>17</v>
      </c>
      <c r="I3" s="6">
        <v>46275</v>
      </c>
      <c r="J3" s="6">
        <v>46296</v>
      </c>
      <c r="K3" s="4"/>
    </row>
    <row r="4" spans="1:11" ht="54" customHeight="1" x14ac:dyDescent="0.55000000000000004">
      <c r="A4" s="4" t="s">
        <v>18</v>
      </c>
      <c r="B4" s="4" t="s">
        <v>19</v>
      </c>
      <c r="C4" s="4" t="s">
        <v>20</v>
      </c>
      <c r="D4" s="4" t="s">
        <v>21</v>
      </c>
      <c r="E4" s="4" t="s">
        <v>12</v>
      </c>
      <c r="F4" s="4">
        <v>6</v>
      </c>
      <c r="G4" s="4">
        <v>0.5</v>
      </c>
      <c r="H4" s="5" t="s">
        <v>17</v>
      </c>
      <c r="I4" s="6">
        <v>46276</v>
      </c>
      <c r="J4" s="6">
        <v>46296</v>
      </c>
      <c r="K4" s="4"/>
    </row>
    <row r="5" spans="1:11" ht="54" customHeight="1" x14ac:dyDescent="0.55000000000000004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>
        <v>3</v>
      </c>
      <c r="G5" s="4">
        <v>0.5</v>
      </c>
      <c r="H5" s="5" t="s">
        <v>17</v>
      </c>
      <c r="I5" s="6">
        <v>46276</v>
      </c>
      <c r="J5" s="6">
        <v>46296</v>
      </c>
      <c r="K5" s="4"/>
    </row>
    <row r="6" spans="1:11" ht="36" customHeight="1" x14ac:dyDescent="0.55000000000000004">
      <c r="A6" s="4" t="s">
        <v>27</v>
      </c>
      <c r="B6" s="4" t="s">
        <v>28</v>
      </c>
      <c r="C6" s="4" t="s">
        <v>29</v>
      </c>
      <c r="D6" s="4" t="s">
        <v>30</v>
      </c>
      <c r="E6" s="4" t="s">
        <v>22</v>
      </c>
      <c r="F6" s="4">
        <v>23</v>
      </c>
      <c r="G6" s="4">
        <v>1.5</v>
      </c>
      <c r="H6" s="5" t="s">
        <v>17</v>
      </c>
      <c r="I6" s="6">
        <v>46276</v>
      </c>
      <c r="J6" s="6">
        <v>46296</v>
      </c>
      <c r="K6" s="4"/>
    </row>
    <row r="7" spans="1:11" ht="36" customHeight="1" x14ac:dyDescent="0.55000000000000004">
      <c r="A7" s="4" t="s">
        <v>31</v>
      </c>
      <c r="B7" s="4" t="s">
        <v>32</v>
      </c>
      <c r="C7" s="4" t="s">
        <v>33</v>
      </c>
      <c r="D7" s="4" t="s">
        <v>34</v>
      </c>
      <c r="E7" s="4" t="s">
        <v>27</v>
      </c>
      <c r="F7" s="4">
        <v>23</v>
      </c>
      <c r="G7" s="4">
        <v>1.5</v>
      </c>
      <c r="H7" s="5" t="s">
        <v>17</v>
      </c>
      <c r="I7" s="6">
        <v>46276</v>
      </c>
      <c r="J7" s="6">
        <v>46296</v>
      </c>
      <c r="K7" s="4"/>
    </row>
    <row r="8" spans="1:11" ht="36" customHeight="1" x14ac:dyDescent="0.55000000000000004">
      <c r="A8" s="4" t="s">
        <v>35</v>
      </c>
      <c r="B8" s="4" t="s">
        <v>36</v>
      </c>
      <c r="C8" s="4" t="s">
        <v>37</v>
      </c>
      <c r="D8" s="4" t="s">
        <v>38</v>
      </c>
      <c r="E8" s="4" t="s">
        <v>31</v>
      </c>
      <c r="F8" s="4">
        <v>3</v>
      </c>
      <c r="G8" s="4">
        <v>0.5</v>
      </c>
      <c r="H8" s="5" t="s">
        <v>17</v>
      </c>
      <c r="I8" s="6">
        <v>46280</v>
      </c>
      <c r="J8" s="6">
        <v>46296</v>
      </c>
      <c r="K8" s="4"/>
    </row>
    <row r="9" spans="1:11" ht="36" customHeight="1" x14ac:dyDescent="0.55000000000000004">
      <c r="A9" s="4" t="s">
        <v>39</v>
      </c>
      <c r="B9" s="4" t="s">
        <v>40</v>
      </c>
      <c r="C9" s="4" t="s">
        <v>41</v>
      </c>
      <c r="D9" s="4" t="s">
        <v>42</v>
      </c>
      <c r="E9" s="4" t="s">
        <v>35</v>
      </c>
      <c r="F9" s="4">
        <v>8</v>
      </c>
      <c r="G9" s="4">
        <v>1</v>
      </c>
      <c r="H9" s="5" t="s">
        <v>43</v>
      </c>
      <c r="I9" s="6">
        <v>46279</v>
      </c>
      <c r="J9" s="6"/>
      <c r="K9" s="4"/>
    </row>
    <row r="10" spans="1:11" ht="36" customHeight="1" x14ac:dyDescent="0.55000000000000004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39</v>
      </c>
      <c r="F10" s="4">
        <v>3</v>
      </c>
      <c r="G10" s="4">
        <v>0.5</v>
      </c>
      <c r="H10" s="5" t="s">
        <v>43</v>
      </c>
      <c r="I10" s="6">
        <v>46282</v>
      </c>
      <c r="J10" s="6"/>
      <c r="K10" s="4"/>
    </row>
    <row r="11" spans="1:11" x14ac:dyDescent="0.55000000000000004">
      <c r="B11" s="7" t="s">
        <v>48</v>
      </c>
      <c r="F11" s="7">
        <f>SUM(F3:F10)</f>
        <v>78</v>
      </c>
      <c r="G11" s="7">
        <f>SUM(G3:G10)</f>
        <v>7</v>
      </c>
    </row>
  </sheetData>
  <phoneticPr fontId="1"/>
  <conditionalFormatting sqref="A3:K10">
    <cfRule type="expression" dxfId="15" priority="5" stopIfTrue="1">
      <formula>$H3="未着手"</formula>
    </cfRule>
    <cfRule type="expression" dxfId="14" priority="6" stopIfTrue="1">
      <formula>$H3="着手中"</formula>
    </cfRule>
    <cfRule type="expression" dxfId="13" priority="7" stopIfTrue="1">
      <formula>$H3="完了"</formula>
    </cfRule>
    <cfRule type="expression" dxfId="12" priority="8" stopIfTrue="1">
      <formula>$H3="修正中"</formula>
    </cfRule>
  </conditionalFormatting>
  <conditionalFormatting sqref="H3:H10">
    <cfRule type="expression" dxfId="11" priority="1" stopIfTrue="1">
      <formula>$H3="未着手"</formula>
    </cfRule>
    <cfRule type="expression" dxfId="10" priority="2" stopIfTrue="1">
      <formula>$H3="着手中"</formula>
    </cfRule>
    <cfRule type="expression" dxfId="9" priority="3" stopIfTrue="1">
      <formula>$H3="完了"</formula>
    </cfRule>
    <cfRule type="expression" dxfId="8" priority="4" stopIfTrue="1">
      <formula>$H3="修正中"</formula>
    </cfRule>
  </conditionalFormatting>
  <dataValidations count="1">
    <dataValidation type="list" allowBlank="1" showErrorMessage="1" errorTitle="入力エラー" error="未着手 / 着手中 / 完了 / 修正中 から選択してください" promptTitle="状態" prompt="リストから選択" sqref="H3:H10" xr:uid="{00000000-0002-0000-0000-000000000000}">
      <formula1>"未着手,着手中,完了,修正中"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showGridLines="0" workbookViewId="0">
      <pane xSplit="2" ySplit="2" topLeftCell="C37" activePane="bottomRight" state="frozen"/>
      <selection pane="topRight" activeCell="H48" sqref="H48"/>
      <selection pane="bottomLeft" activeCell="H48" sqref="H48"/>
      <selection pane="bottomRight" activeCell="H44" sqref="H44"/>
    </sheetView>
  </sheetViews>
  <sheetFormatPr defaultRowHeight="18" x14ac:dyDescent="0.55000000000000004"/>
  <cols>
    <col min="1" max="1" width="8" style="1" customWidth="1"/>
    <col min="2" max="2" width="20" style="1" customWidth="1"/>
    <col min="3" max="3" width="30" style="1" customWidth="1"/>
    <col min="4" max="4" width="46" style="1" customWidth="1"/>
    <col min="5" max="5" width="20" style="1" customWidth="1"/>
    <col min="6" max="6" width="12" style="1" customWidth="1"/>
    <col min="7" max="7" width="11" style="1" customWidth="1"/>
    <col min="8" max="8" width="10" style="1" customWidth="1"/>
    <col min="9" max="10" width="12" style="1" customWidth="1"/>
    <col min="11" max="11" width="28" style="1" customWidth="1"/>
  </cols>
  <sheetData>
    <row r="1" spans="1:11" ht="21.65" customHeight="1" x14ac:dyDescent="0.65">
      <c r="A1" s="2" t="s">
        <v>49</v>
      </c>
    </row>
    <row r="2" spans="1:11" x14ac:dyDescent="0.55000000000000004">
      <c r="A2" s="3" t="s">
        <v>50</v>
      </c>
      <c r="B2" s="3" t="s">
        <v>2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6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55000000000000004">
      <c r="A3" s="8" t="s">
        <v>12</v>
      </c>
      <c r="B3" s="8" t="s">
        <v>13</v>
      </c>
      <c r="C3" s="8"/>
      <c r="D3" s="8"/>
      <c r="E3" s="8"/>
      <c r="F3" s="8"/>
      <c r="G3" s="8">
        <v>9</v>
      </c>
      <c r="H3" s="8"/>
      <c r="I3" s="8"/>
      <c r="J3" s="8"/>
      <c r="K3" s="8"/>
    </row>
    <row r="4" spans="1:11" ht="36" customHeight="1" x14ac:dyDescent="0.55000000000000004">
      <c r="A4" s="4" t="s">
        <v>55</v>
      </c>
      <c r="B4" s="4" t="s">
        <v>13</v>
      </c>
      <c r="C4" s="4" t="s">
        <v>56</v>
      </c>
      <c r="D4" s="4" t="s">
        <v>57</v>
      </c>
      <c r="E4" s="4" t="s">
        <v>58</v>
      </c>
      <c r="F4" s="4" t="s">
        <v>16</v>
      </c>
      <c r="G4" s="4">
        <v>1</v>
      </c>
      <c r="H4" s="5" t="s">
        <v>17</v>
      </c>
      <c r="I4" s="6">
        <v>46275</v>
      </c>
      <c r="J4" s="6">
        <v>46296</v>
      </c>
      <c r="K4" s="4"/>
    </row>
    <row r="5" spans="1:11" ht="36" customHeight="1" x14ac:dyDescent="0.55000000000000004">
      <c r="A5" s="4" t="s">
        <v>59</v>
      </c>
      <c r="B5" s="4" t="s">
        <v>13</v>
      </c>
      <c r="C5" s="4" t="s">
        <v>60</v>
      </c>
      <c r="D5" s="4" t="s">
        <v>61</v>
      </c>
      <c r="E5" s="4" t="s">
        <v>62</v>
      </c>
      <c r="F5" s="4" t="s">
        <v>55</v>
      </c>
      <c r="G5" s="4">
        <v>2</v>
      </c>
      <c r="H5" s="5" t="s">
        <v>17</v>
      </c>
      <c r="I5" s="6">
        <v>46275</v>
      </c>
      <c r="J5" s="6">
        <v>46296</v>
      </c>
      <c r="K5" s="4"/>
    </row>
    <row r="6" spans="1:11" ht="36" customHeight="1" x14ac:dyDescent="0.55000000000000004">
      <c r="A6" s="4" t="s">
        <v>63</v>
      </c>
      <c r="B6" s="4" t="s">
        <v>13</v>
      </c>
      <c r="C6" s="4" t="s">
        <v>64</v>
      </c>
      <c r="D6" s="4" t="s">
        <v>65</v>
      </c>
      <c r="E6" s="4" t="s">
        <v>66</v>
      </c>
      <c r="F6" s="4" t="s">
        <v>55</v>
      </c>
      <c r="G6" s="4">
        <v>2.5</v>
      </c>
      <c r="H6" s="5" t="s">
        <v>17</v>
      </c>
      <c r="I6" s="6">
        <v>46275</v>
      </c>
      <c r="J6" s="6">
        <v>46296</v>
      </c>
      <c r="K6" s="4"/>
    </row>
    <row r="7" spans="1:11" ht="36" customHeight="1" x14ac:dyDescent="0.55000000000000004">
      <c r="A7" s="4" t="s">
        <v>67</v>
      </c>
      <c r="B7" s="4" t="s">
        <v>13</v>
      </c>
      <c r="C7" s="4" t="s">
        <v>68</v>
      </c>
      <c r="D7" s="4" t="s">
        <v>69</v>
      </c>
      <c r="E7" s="4" t="s">
        <v>70</v>
      </c>
      <c r="F7" s="4" t="s">
        <v>55</v>
      </c>
      <c r="G7" s="4">
        <v>2</v>
      </c>
      <c r="H7" s="5" t="s">
        <v>17</v>
      </c>
      <c r="I7" s="6">
        <v>46276</v>
      </c>
      <c r="J7" s="6">
        <v>46296</v>
      </c>
      <c r="K7" s="4"/>
    </row>
    <row r="8" spans="1:11" ht="36" customHeight="1" x14ac:dyDescent="0.55000000000000004">
      <c r="A8" s="4" t="s">
        <v>71</v>
      </c>
      <c r="B8" s="4" t="s">
        <v>13</v>
      </c>
      <c r="C8" s="4" t="s">
        <v>72</v>
      </c>
      <c r="D8" s="4" t="s">
        <v>73</v>
      </c>
      <c r="E8" s="4" t="s">
        <v>74</v>
      </c>
      <c r="F8" s="4" t="s">
        <v>75</v>
      </c>
      <c r="G8" s="4">
        <v>1.5</v>
      </c>
      <c r="H8" s="5" t="s">
        <v>17</v>
      </c>
      <c r="I8" s="6">
        <v>46276</v>
      </c>
      <c r="J8" s="6">
        <v>46296</v>
      </c>
      <c r="K8" s="4"/>
    </row>
    <row r="9" spans="1:11" x14ac:dyDescent="0.55000000000000004">
      <c r="A9" s="8" t="s">
        <v>18</v>
      </c>
      <c r="B9" s="8" t="s">
        <v>19</v>
      </c>
      <c r="C9" s="8"/>
      <c r="D9" s="8"/>
      <c r="E9" s="8"/>
      <c r="F9" s="8"/>
      <c r="G9" s="8">
        <v>6</v>
      </c>
      <c r="H9" s="8"/>
      <c r="I9" s="8"/>
      <c r="J9" s="8"/>
      <c r="K9" s="8"/>
    </row>
    <row r="10" spans="1:11" ht="36" customHeight="1" x14ac:dyDescent="0.55000000000000004">
      <c r="A10" s="4" t="s">
        <v>76</v>
      </c>
      <c r="B10" s="4" t="s">
        <v>19</v>
      </c>
      <c r="C10" s="4" t="s">
        <v>77</v>
      </c>
      <c r="D10" s="4" t="s">
        <v>78</v>
      </c>
      <c r="E10" s="4" t="s">
        <v>79</v>
      </c>
      <c r="F10" s="4" t="s">
        <v>12</v>
      </c>
      <c r="G10" s="4">
        <v>1</v>
      </c>
      <c r="H10" s="5" t="s">
        <v>17</v>
      </c>
      <c r="I10" s="6">
        <v>46276</v>
      </c>
      <c r="J10" s="6">
        <v>46296</v>
      </c>
      <c r="K10" s="4"/>
    </row>
    <row r="11" spans="1:11" x14ac:dyDescent="0.55000000000000004">
      <c r="A11" s="4" t="s">
        <v>80</v>
      </c>
      <c r="B11" s="4" t="s">
        <v>19</v>
      </c>
      <c r="C11" s="4" t="s">
        <v>81</v>
      </c>
      <c r="D11" s="4" t="s">
        <v>82</v>
      </c>
      <c r="E11" s="4" t="s">
        <v>83</v>
      </c>
      <c r="F11" s="4" t="s">
        <v>76</v>
      </c>
      <c r="G11" s="4">
        <v>1</v>
      </c>
      <c r="H11" s="5" t="s">
        <v>17</v>
      </c>
      <c r="I11" s="6">
        <v>46276</v>
      </c>
      <c r="J11" s="6">
        <v>46296</v>
      </c>
      <c r="K11" s="4"/>
    </row>
    <row r="12" spans="1:11" x14ac:dyDescent="0.55000000000000004">
      <c r="A12" s="4" t="s">
        <v>84</v>
      </c>
      <c r="B12" s="4" t="s">
        <v>19</v>
      </c>
      <c r="C12" s="4" t="s">
        <v>85</v>
      </c>
      <c r="D12" s="4" t="s">
        <v>86</v>
      </c>
      <c r="E12" s="4" t="s">
        <v>87</v>
      </c>
      <c r="F12" s="4" t="s">
        <v>76</v>
      </c>
      <c r="G12" s="4">
        <v>1</v>
      </c>
      <c r="H12" s="5" t="s">
        <v>17</v>
      </c>
      <c r="I12" s="6">
        <v>46276</v>
      </c>
      <c r="J12" s="6">
        <v>46296</v>
      </c>
      <c r="K12" s="4"/>
    </row>
    <row r="13" spans="1:11" x14ac:dyDescent="0.55000000000000004">
      <c r="A13" s="4" t="s">
        <v>88</v>
      </c>
      <c r="B13" s="4" t="s">
        <v>19</v>
      </c>
      <c r="C13" s="4" t="s">
        <v>89</v>
      </c>
      <c r="D13" s="4" t="s">
        <v>90</v>
      </c>
      <c r="E13" s="4" t="s">
        <v>91</v>
      </c>
      <c r="F13" s="4" t="s">
        <v>84</v>
      </c>
      <c r="G13" s="4">
        <v>0.5</v>
      </c>
      <c r="H13" s="5" t="s">
        <v>17</v>
      </c>
      <c r="I13" s="6">
        <v>46276</v>
      </c>
      <c r="J13" s="6">
        <v>46296</v>
      </c>
      <c r="K13" s="4"/>
    </row>
    <row r="14" spans="1:11" ht="36" customHeight="1" x14ac:dyDescent="0.55000000000000004">
      <c r="A14" s="4" t="s">
        <v>92</v>
      </c>
      <c r="B14" s="4" t="s">
        <v>19</v>
      </c>
      <c r="C14" s="4" t="s">
        <v>93</v>
      </c>
      <c r="D14" s="4" t="s">
        <v>94</v>
      </c>
      <c r="E14" s="4" t="s">
        <v>95</v>
      </c>
      <c r="F14" s="4" t="s">
        <v>96</v>
      </c>
      <c r="G14" s="4">
        <v>2.5</v>
      </c>
      <c r="H14" s="5" t="s">
        <v>17</v>
      </c>
      <c r="I14" s="6">
        <v>46276</v>
      </c>
      <c r="J14" s="6">
        <v>46296</v>
      </c>
      <c r="K14" s="4"/>
    </row>
    <row r="15" spans="1:11" x14ac:dyDescent="0.55000000000000004">
      <c r="A15" s="8" t="s">
        <v>22</v>
      </c>
      <c r="B15" s="8" t="s">
        <v>23</v>
      </c>
      <c r="C15" s="8"/>
      <c r="D15" s="8"/>
      <c r="E15" s="8"/>
      <c r="F15" s="8"/>
      <c r="G15" s="8">
        <v>3</v>
      </c>
      <c r="H15" s="8"/>
      <c r="I15" s="8"/>
      <c r="J15" s="8"/>
      <c r="K15" s="8"/>
    </row>
    <row r="16" spans="1:11" ht="36" customHeight="1" x14ac:dyDescent="0.55000000000000004">
      <c r="A16" s="4" t="s">
        <v>97</v>
      </c>
      <c r="B16" s="4" t="s">
        <v>23</v>
      </c>
      <c r="C16" s="4" t="s">
        <v>98</v>
      </c>
      <c r="D16" s="4" t="s">
        <v>99</v>
      </c>
      <c r="E16" s="4" t="s">
        <v>100</v>
      </c>
      <c r="F16" s="4" t="s">
        <v>101</v>
      </c>
      <c r="G16" s="4">
        <v>1.5</v>
      </c>
      <c r="H16" s="5" t="s">
        <v>17</v>
      </c>
      <c r="I16" s="6">
        <v>46276</v>
      </c>
      <c r="J16" s="6">
        <v>46296</v>
      </c>
      <c r="K16" s="4"/>
    </row>
    <row r="17" spans="1:11" x14ac:dyDescent="0.55000000000000004">
      <c r="A17" s="4" t="s">
        <v>102</v>
      </c>
      <c r="B17" s="4" t="s">
        <v>23</v>
      </c>
      <c r="C17" s="4" t="s">
        <v>103</v>
      </c>
      <c r="D17" s="4" t="s">
        <v>104</v>
      </c>
      <c r="E17" s="4" t="s">
        <v>105</v>
      </c>
      <c r="F17" s="4" t="s">
        <v>97</v>
      </c>
      <c r="G17" s="4">
        <v>1.5</v>
      </c>
      <c r="H17" s="5" t="s">
        <v>17</v>
      </c>
      <c r="I17" s="6">
        <v>46276</v>
      </c>
      <c r="J17" s="6">
        <v>46296</v>
      </c>
      <c r="K17" s="4"/>
    </row>
    <row r="18" spans="1:11" ht="36" customHeight="1" x14ac:dyDescent="0.55000000000000004">
      <c r="A18" s="8" t="s">
        <v>27</v>
      </c>
      <c r="B18" s="8" t="s">
        <v>28</v>
      </c>
      <c r="C18" s="8"/>
      <c r="D18" s="8"/>
      <c r="E18" s="8"/>
      <c r="F18" s="8"/>
      <c r="G18" s="8">
        <v>23</v>
      </c>
      <c r="H18" s="8"/>
      <c r="I18" s="8"/>
      <c r="J18" s="8"/>
      <c r="K18" s="8"/>
    </row>
    <row r="19" spans="1:11" ht="36" customHeight="1" x14ac:dyDescent="0.55000000000000004">
      <c r="A19" s="4" t="s">
        <v>106</v>
      </c>
      <c r="B19" s="4" t="s">
        <v>28</v>
      </c>
      <c r="C19" s="4" t="s">
        <v>107</v>
      </c>
      <c r="D19" s="4" t="s">
        <v>108</v>
      </c>
      <c r="E19" s="4" t="s">
        <v>109</v>
      </c>
      <c r="F19" s="4" t="s">
        <v>22</v>
      </c>
      <c r="G19" s="4">
        <v>3</v>
      </c>
      <c r="H19" s="5" t="s">
        <v>17</v>
      </c>
      <c r="I19" s="6">
        <v>46276</v>
      </c>
      <c r="J19" s="6">
        <v>46296</v>
      </c>
      <c r="K19" s="4"/>
    </row>
    <row r="20" spans="1:11" ht="36" customHeight="1" x14ac:dyDescent="0.55000000000000004">
      <c r="A20" s="4" t="s">
        <v>110</v>
      </c>
      <c r="B20" s="4" t="s">
        <v>28</v>
      </c>
      <c r="C20" s="4" t="s">
        <v>111</v>
      </c>
      <c r="D20" s="4" t="s">
        <v>112</v>
      </c>
      <c r="E20" s="4" t="s">
        <v>109</v>
      </c>
      <c r="F20" s="4" t="s">
        <v>22</v>
      </c>
      <c r="G20" s="4">
        <v>5</v>
      </c>
      <c r="H20" s="5" t="s">
        <v>17</v>
      </c>
      <c r="I20" s="6">
        <v>46279</v>
      </c>
      <c r="J20" s="6">
        <v>46296</v>
      </c>
      <c r="K20" s="4"/>
    </row>
    <row r="21" spans="1:11" ht="36" customHeight="1" x14ac:dyDescent="0.55000000000000004">
      <c r="A21" s="4" t="s">
        <v>113</v>
      </c>
      <c r="B21" s="4" t="s">
        <v>28</v>
      </c>
      <c r="C21" s="4" t="s">
        <v>114</v>
      </c>
      <c r="D21" s="4" t="s">
        <v>115</v>
      </c>
      <c r="E21" s="4" t="s">
        <v>109</v>
      </c>
      <c r="F21" s="4" t="s">
        <v>22</v>
      </c>
      <c r="G21" s="4">
        <v>3</v>
      </c>
      <c r="H21" s="5" t="s">
        <v>17</v>
      </c>
      <c r="I21" s="6">
        <v>46279</v>
      </c>
      <c r="J21" s="6">
        <v>46296</v>
      </c>
      <c r="K21" s="4"/>
    </row>
    <row r="22" spans="1:11" ht="36" customHeight="1" x14ac:dyDescent="0.55000000000000004">
      <c r="A22" s="4" t="s">
        <v>116</v>
      </c>
      <c r="B22" s="4" t="s">
        <v>28</v>
      </c>
      <c r="C22" s="4" t="s">
        <v>117</v>
      </c>
      <c r="D22" s="4" t="s">
        <v>118</v>
      </c>
      <c r="E22" s="4" t="s">
        <v>109</v>
      </c>
      <c r="F22" s="4" t="s">
        <v>22</v>
      </c>
      <c r="G22" s="4">
        <v>2</v>
      </c>
      <c r="H22" s="5" t="s">
        <v>17</v>
      </c>
      <c r="I22" s="6">
        <v>46279</v>
      </c>
      <c r="J22" s="6">
        <v>46296</v>
      </c>
      <c r="K22" s="4"/>
    </row>
    <row r="23" spans="1:11" ht="36" customHeight="1" x14ac:dyDescent="0.55000000000000004">
      <c r="A23" s="4" t="s">
        <v>119</v>
      </c>
      <c r="B23" s="4" t="s">
        <v>28</v>
      </c>
      <c r="C23" s="4" t="s">
        <v>120</v>
      </c>
      <c r="D23" s="4" t="s">
        <v>121</v>
      </c>
      <c r="E23" s="4" t="s">
        <v>109</v>
      </c>
      <c r="F23" s="4" t="s">
        <v>22</v>
      </c>
      <c r="G23" s="4">
        <v>2</v>
      </c>
      <c r="H23" s="5" t="s">
        <v>17</v>
      </c>
      <c r="I23" s="6">
        <v>46279</v>
      </c>
      <c r="J23" s="6">
        <v>46296</v>
      </c>
      <c r="K23" s="4"/>
    </row>
    <row r="24" spans="1:11" ht="36" customHeight="1" x14ac:dyDescent="0.55000000000000004">
      <c r="A24" s="4" t="s">
        <v>122</v>
      </c>
      <c r="B24" s="4" t="s">
        <v>28</v>
      </c>
      <c r="C24" s="4" t="s">
        <v>123</v>
      </c>
      <c r="D24" s="4" t="s">
        <v>124</v>
      </c>
      <c r="E24" s="4" t="s">
        <v>109</v>
      </c>
      <c r="F24" s="4" t="s">
        <v>113</v>
      </c>
      <c r="G24" s="4">
        <v>3</v>
      </c>
      <c r="H24" s="5" t="s">
        <v>17</v>
      </c>
      <c r="I24" s="6">
        <v>46279</v>
      </c>
      <c r="J24" s="6">
        <v>46296</v>
      </c>
      <c r="K24" s="4"/>
    </row>
    <row r="25" spans="1:11" ht="36" customHeight="1" x14ac:dyDescent="0.55000000000000004">
      <c r="A25" s="4" t="s">
        <v>125</v>
      </c>
      <c r="B25" s="4" t="s">
        <v>28</v>
      </c>
      <c r="C25" s="4" t="s">
        <v>126</v>
      </c>
      <c r="D25" s="4" t="s">
        <v>127</v>
      </c>
      <c r="E25" s="4" t="s">
        <v>128</v>
      </c>
      <c r="F25" s="4" t="s">
        <v>113</v>
      </c>
      <c r="G25" s="4">
        <v>4</v>
      </c>
      <c r="H25" s="5" t="s">
        <v>17</v>
      </c>
      <c r="I25" s="6">
        <v>46279</v>
      </c>
      <c r="J25" s="6">
        <v>46296</v>
      </c>
      <c r="K25" s="4"/>
    </row>
    <row r="26" spans="1:11" ht="36" customHeight="1" x14ac:dyDescent="0.55000000000000004">
      <c r="A26" s="4" t="s">
        <v>129</v>
      </c>
      <c r="B26" s="4" t="s">
        <v>28</v>
      </c>
      <c r="C26" s="4" t="s">
        <v>130</v>
      </c>
      <c r="D26" s="4" t="s">
        <v>131</v>
      </c>
      <c r="E26" s="4" t="s">
        <v>132</v>
      </c>
      <c r="F26" s="4" t="s">
        <v>133</v>
      </c>
      <c r="G26" s="4">
        <v>1</v>
      </c>
      <c r="H26" s="5" t="s">
        <v>17</v>
      </c>
      <c r="I26" s="6">
        <v>46279</v>
      </c>
      <c r="J26" s="6">
        <v>46296</v>
      </c>
      <c r="K26" s="4"/>
    </row>
    <row r="27" spans="1:11" ht="36" customHeight="1" x14ac:dyDescent="0.55000000000000004">
      <c r="A27" s="8" t="s">
        <v>31</v>
      </c>
      <c r="B27" s="8" t="s">
        <v>32</v>
      </c>
      <c r="C27" s="8"/>
      <c r="D27" s="8"/>
      <c r="E27" s="8"/>
      <c r="F27" s="8"/>
      <c r="G27" s="8">
        <v>23</v>
      </c>
      <c r="H27" s="8"/>
      <c r="I27" s="8"/>
      <c r="J27" s="8"/>
      <c r="K27" s="8"/>
    </row>
    <row r="28" spans="1:11" ht="36" customHeight="1" x14ac:dyDescent="0.55000000000000004">
      <c r="A28" s="4" t="s">
        <v>134</v>
      </c>
      <c r="B28" s="4" t="s">
        <v>32</v>
      </c>
      <c r="C28" s="4" t="s">
        <v>135</v>
      </c>
      <c r="D28" s="4" t="s">
        <v>136</v>
      </c>
      <c r="E28" s="4" t="s">
        <v>137</v>
      </c>
      <c r="F28" s="4" t="s">
        <v>138</v>
      </c>
      <c r="G28" s="4">
        <v>4</v>
      </c>
      <c r="H28" s="5" t="s">
        <v>17</v>
      </c>
      <c r="I28" s="6">
        <v>46279</v>
      </c>
      <c r="J28" s="6">
        <v>46296</v>
      </c>
      <c r="K28" s="4"/>
    </row>
    <row r="29" spans="1:11" ht="36" customHeight="1" x14ac:dyDescent="0.55000000000000004">
      <c r="A29" s="4" t="s">
        <v>139</v>
      </c>
      <c r="B29" s="4" t="s">
        <v>32</v>
      </c>
      <c r="C29" s="4" t="s">
        <v>140</v>
      </c>
      <c r="D29" s="4" t="s">
        <v>141</v>
      </c>
      <c r="E29" s="4" t="s">
        <v>142</v>
      </c>
      <c r="F29" s="4" t="s">
        <v>134</v>
      </c>
      <c r="G29" s="4">
        <v>2</v>
      </c>
      <c r="H29" s="5" t="s">
        <v>17</v>
      </c>
      <c r="I29" s="6">
        <v>46279</v>
      </c>
      <c r="J29" s="6">
        <v>46296</v>
      </c>
      <c r="K29" s="4"/>
    </row>
    <row r="30" spans="1:11" ht="36" customHeight="1" x14ac:dyDescent="0.55000000000000004">
      <c r="A30" s="4" t="s">
        <v>143</v>
      </c>
      <c r="B30" s="4" t="s">
        <v>32</v>
      </c>
      <c r="C30" s="4" t="s">
        <v>144</v>
      </c>
      <c r="D30" s="4" t="s">
        <v>145</v>
      </c>
      <c r="E30" s="4" t="s">
        <v>142</v>
      </c>
      <c r="F30" s="4" t="s">
        <v>146</v>
      </c>
      <c r="G30" s="4">
        <v>5.5</v>
      </c>
      <c r="H30" s="5" t="s">
        <v>17</v>
      </c>
      <c r="I30" s="6">
        <v>46276</v>
      </c>
      <c r="J30" s="6">
        <v>46296</v>
      </c>
      <c r="K30" s="4"/>
    </row>
    <row r="31" spans="1:11" ht="36" customHeight="1" x14ac:dyDescent="0.55000000000000004">
      <c r="A31" s="4" t="s">
        <v>147</v>
      </c>
      <c r="B31" s="4" t="s">
        <v>32</v>
      </c>
      <c r="C31" s="4" t="s">
        <v>148</v>
      </c>
      <c r="D31" s="4" t="s">
        <v>149</v>
      </c>
      <c r="E31" s="4" t="s">
        <v>142</v>
      </c>
      <c r="F31" s="4" t="s">
        <v>150</v>
      </c>
      <c r="G31" s="4">
        <v>4</v>
      </c>
      <c r="H31" s="5" t="s">
        <v>17</v>
      </c>
      <c r="I31" s="6">
        <v>46279</v>
      </c>
      <c r="J31" s="6">
        <v>46296</v>
      </c>
      <c r="K31" s="4"/>
    </row>
    <row r="32" spans="1:11" ht="36" customHeight="1" x14ac:dyDescent="0.55000000000000004">
      <c r="A32" s="4" t="s">
        <v>151</v>
      </c>
      <c r="B32" s="4" t="s">
        <v>32</v>
      </c>
      <c r="C32" s="4" t="s">
        <v>152</v>
      </c>
      <c r="D32" s="4" t="s">
        <v>153</v>
      </c>
      <c r="E32" s="4" t="s">
        <v>142</v>
      </c>
      <c r="F32" s="4" t="s">
        <v>154</v>
      </c>
      <c r="G32" s="4">
        <v>4.5</v>
      </c>
      <c r="H32" s="5" t="s">
        <v>17</v>
      </c>
      <c r="I32" s="6">
        <v>46279</v>
      </c>
      <c r="J32" s="6">
        <v>46296</v>
      </c>
      <c r="K32" s="4"/>
    </row>
    <row r="33" spans="1:11" ht="36" customHeight="1" x14ac:dyDescent="0.55000000000000004">
      <c r="A33" s="4" t="s">
        <v>155</v>
      </c>
      <c r="B33" s="4" t="s">
        <v>32</v>
      </c>
      <c r="C33" s="4" t="s">
        <v>156</v>
      </c>
      <c r="D33" s="4" t="s">
        <v>157</v>
      </c>
      <c r="E33" s="4" t="s">
        <v>142</v>
      </c>
      <c r="F33" s="4" t="s">
        <v>158</v>
      </c>
      <c r="G33" s="4">
        <v>2</v>
      </c>
      <c r="H33" s="5" t="s">
        <v>17</v>
      </c>
      <c r="I33" s="6">
        <v>46279</v>
      </c>
      <c r="J33" s="6">
        <v>46296</v>
      </c>
      <c r="K33" s="4"/>
    </row>
    <row r="34" spans="1:11" ht="36" customHeight="1" x14ac:dyDescent="0.55000000000000004">
      <c r="A34" s="4" t="s">
        <v>159</v>
      </c>
      <c r="B34" s="4" t="s">
        <v>32</v>
      </c>
      <c r="C34" s="4" t="s">
        <v>160</v>
      </c>
      <c r="D34" s="4" t="s">
        <v>161</v>
      </c>
      <c r="E34" s="4" t="s">
        <v>162</v>
      </c>
      <c r="F34" s="4" t="s">
        <v>139</v>
      </c>
      <c r="G34" s="4">
        <v>1</v>
      </c>
      <c r="H34" s="5" t="s">
        <v>17</v>
      </c>
      <c r="I34" s="6">
        <v>46279</v>
      </c>
      <c r="J34" s="6">
        <v>46296</v>
      </c>
      <c r="K34" s="4"/>
    </row>
    <row r="35" spans="1:11" x14ac:dyDescent="0.55000000000000004">
      <c r="A35" s="8" t="s">
        <v>35</v>
      </c>
      <c r="B35" s="8" t="s">
        <v>36</v>
      </c>
      <c r="C35" s="8"/>
      <c r="D35" s="8"/>
      <c r="E35" s="8"/>
      <c r="F35" s="8"/>
      <c r="G35" s="8">
        <v>3</v>
      </c>
      <c r="H35" s="8"/>
      <c r="I35" s="8"/>
      <c r="J35" s="8"/>
      <c r="K35" s="8"/>
    </row>
    <row r="36" spans="1:11" ht="36" customHeight="1" x14ac:dyDescent="0.55000000000000004">
      <c r="A36" s="4" t="s">
        <v>163</v>
      </c>
      <c r="B36" s="4" t="s">
        <v>36</v>
      </c>
      <c r="C36" s="4" t="s">
        <v>164</v>
      </c>
      <c r="D36" s="4" t="s">
        <v>165</v>
      </c>
      <c r="E36" s="4" t="s">
        <v>132</v>
      </c>
      <c r="F36" s="4" t="s">
        <v>31</v>
      </c>
      <c r="G36" s="4">
        <v>1</v>
      </c>
      <c r="H36" s="5" t="s">
        <v>17</v>
      </c>
      <c r="I36" s="6">
        <v>46280</v>
      </c>
      <c r="J36" s="6">
        <v>46296</v>
      </c>
      <c r="K36" s="4"/>
    </row>
    <row r="37" spans="1:11" x14ac:dyDescent="0.55000000000000004">
      <c r="A37" s="4" t="s">
        <v>166</v>
      </c>
      <c r="B37" s="4" t="s">
        <v>36</v>
      </c>
      <c r="C37" s="4" t="s">
        <v>167</v>
      </c>
      <c r="D37" s="4" t="s">
        <v>168</v>
      </c>
      <c r="E37" s="4" t="s">
        <v>169</v>
      </c>
      <c r="F37" s="4" t="s">
        <v>163</v>
      </c>
      <c r="G37" s="4">
        <v>2</v>
      </c>
      <c r="H37" s="5" t="s">
        <v>17</v>
      </c>
      <c r="I37" s="6">
        <v>46280</v>
      </c>
      <c r="J37" s="6">
        <v>46296</v>
      </c>
      <c r="K37" s="4"/>
    </row>
    <row r="38" spans="1:11" x14ac:dyDescent="0.55000000000000004">
      <c r="A38" s="8" t="s">
        <v>39</v>
      </c>
      <c r="B38" s="8" t="s">
        <v>40</v>
      </c>
      <c r="C38" s="8"/>
      <c r="D38" s="8"/>
      <c r="E38" s="8"/>
      <c r="F38" s="8"/>
      <c r="G38" s="8">
        <v>8</v>
      </c>
      <c r="H38" s="8"/>
      <c r="I38" s="8"/>
      <c r="J38" s="8"/>
      <c r="K38" s="8"/>
    </row>
    <row r="39" spans="1:11" ht="36" customHeight="1" x14ac:dyDescent="0.55000000000000004">
      <c r="A39" s="4" t="s">
        <v>170</v>
      </c>
      <c r="B39" s="4" t="s">
        <v>40</v>
      </c>
      <c r="C39" s="4" t="s">
        <v>171</v>
      </c>
      <c r="D39" s="4" t="s">
        <v>172</v>
      </c>
      <c r="E39" s="4" t="s">
        <v>173</v>
      </c>
      <c r="F39" s="4" t="s">
        <v>125</v>
      </c>
      <c r="G39" s="4">
        <v>2.5</v>
      </c>
      <c r="H39" s="5" t="s">
        <v>43</v>
      </c>
      <c r="I39" s="6">
        <v>46280</v>
      </c>
      <c r="J39" s="6"/>
      <c r="K39" s="4"/>
    </row>
    <row r="40" spans="1:11" x14ac:dyDescent="0.55000000000000004">
      <c r="A40" s="4" t="s">
        <v>174</v>
      </c>
      <c r="B40" s="4" t="s">
        <v>40</v>
      </c>
      <c r="C40" s="4" t="s">
        <v>175</v>
      </c>
      <c r="D40" s="4" t="s">
        <v>176</v>
      </c>
      <c r="E40" s="4" t="s">
        <v>173</v>
      </c>
      <c r="F40" s="4" t="s">
        <v>129</v>
      </c>
      <c r="G40" s="4">
        <v>2.5</v>
      </c>
      <c r="H40" s="5" t="s">
        <v>43</v>
      </c>
      <c r="I40" s="6">
        <v>46280</v>
      </c>
      <c r="J40" s="6"/>
      <c r="K40" s="4"/>
    </row>
    <row r="41" spans="1:11" x14ac:dyDescent="0.55000000000000004">
      <c r="A41" s="4" t="s">
        <v>177</v>
      </c>
      <c r="B41" s="4" t="s">
        <v>40</v>
      </c>
      <c r="C41" s="4" t="s">
        <v>178</v>
      </c>
      <c r="D41" s="4" t="s">
        <v>179</v>
      </c>
      <c r="E41" s="4" t="s">
        <v>180</v>
      </c>
      <c r="F41" s="4" t="s">
        <v>166</v>
      </c>
      <c r="G41" s="4">
        <v>1.5</v>
      </c>
      <c r="H41" s="5" t="s">
        <v>43</v>
      </c>
      <c r="I41" s="6">
        <v>46280</v>
      </c>
      <c r="J41" s="6"/>
      <c r="K41" s="4"/>
    </row>
    <row r="42" spans="1:11" x14ac:dyDescent="0.55000000000000004">
      <c r="A42" s="4" t="s">
        <v>181</v>
      </c>
      <c r="B42" s="4" t="s">
        <v>40</v>
      </c>
      <c r="C42" s="4" t="s">
        <v>182</v>
      </c>
      <c r="D42" s="4" t="s">
        <v>183</v>
      </c>
      <c r="E42" s="4" t="s">
        <v>184</v>
      </c>
      <c r="F42" s="4" t="s">
        <v>185</v>
      </c>
      <c r="G42" s="4">
        <v>1.5</v>
      </c>
      <c r="H42" s="5" t="s">
        <v>43</v>
      </c>
      <c r="I42" s="6">
        <v>46280</v>
      </c>
      <c r="J42" s="6"/>
      <c r="K42" s="4"/>
    </row>
    <row r="43" spans="1:11" x14ac:dyDescent="0.55000000000000004">
      <c r="A43" s="8" t="s">
        <v>186</v>
      </c>
      <c r="B43" s="8" t="s">
        <v>45</v>
      </c>
      <c r="C43" s="8"/>
      <c r="D43" s="8"/>
      <c r="E43" s="8"/>
      <c r="F43" s="8"/>
      <c r="G43" s="8">
        <v>3</v>
      </c>
      <c r="H43" s="8"/>
      <c r="I43" s="8"/>
      <c r="J43" s="8"/>
      <c r="K43" s="8"/>
    </row>
    <row r="44" spans="1:11" x14ac:dyDescent="0.55000000000000004">
      <c r="A44" s="4" t="s">
        <v>187</v>
      </c>
      <c r="B44" s="4" t="s">
        <v>45</v>
      </c>
      <c r="C44" s="4" t="s">
        <v>188</v>
      </c>
      <c r="D44" s="4" t="s">
        <v>189</v>
      </c>
      <c r="E44" s="4" t="s">
        <v>190</v>
      </c>
      <c r="F44" s="4" t="s">
        <v>39</v>
      </c>
      <c r="G44" s="4">
        <v>1</v>
      </c>
      <c r="H44" s="5" t="s">
        <v>43</v>
      </c>
      <c r="I44" s="6">
        <v>46282</v>
      </c>
      <c r="J44" s="6"/>
      <c r="K44" s="4"/>
    </row>
    <row r="45" spans="1:11" x14ac:dyDescent="0.55000000000000004">
      <c r="A45" s="4" t="s">
        <v>191</v>
      </c>
      <c r="B45" s="4" t="s">
        <v>45</v>
      </c>
      <c r="C45" s="4" t="s">
        <v>192</v>
      </c>
      <c r="D45" s="4" t="s">
        <v>193</v>
      </c>
      <c r="E45" s="4" t="s">
        <v>194</v>
      </c>
      <c r="F45" s="4" t="s">
        <v>187</v>
      </c>
      <c r="G45" s="4">
        <v>1</v>
      </c>
      <c r="H45" s="5" t="s">
        <v>43</v>
      </c>
      <c r="I45" s="6">
        <v>46282</v>
      </c>
      <c r="J45" s="6"/>
      <c r="K45" s="4"/>
    </row>
    <row r="46" spans="1:11" x14ac:dyDescent="0.55000000000000004">
      <c r="A46" s="4" t="s">
        <v>195</v>
      </c>
      <c r="B46" s="4" t="s">
        <v>45</v>
      </c>
      <c r="C46" s="4" t="s">
        <v>196</v>
      </c>
      <c r="D46" s="4" t="s">
        <v>197</v>
      </c>
      <c r="E46" s="4" t="s">
        <v>198</v>
      </c>
      <c r="F46" s="4" t="s">
        <v>191</v>
      </c>
      <c r="G46" s="4">
        <v>1</v>
      </c>
      <c r="H46" s="5" t="s">
        <v>43</v>
      </c>
      <c r="I46" s="6">
        <v>46282</v>
      </c>
      <c r="J46" s="6"/>
      <c r="K46" s="4"/>
    </row>
    <row r="47" spans="1:11" x14ac:dyDescent="0.55000000000000004">
      <c r="C47" s="7" t="s">
        <v>199</v>
      </c>
      <c r="G47" s="7">
        <f>SUMPRODUCT((ISNUMBER(SEARCH("-",A3:A46)))*G3:G46)</f>
        <v>78</v>
      </c>
    </row>
  </sheetData>
  <phoneticPr fontId="1"/>
  <conditionalFormatting sqref="A3:K46">
    <cfRule type="expression" dxfId="7" priority="1">
      <formula>$H3="未着手"</formula>
    </cfRule>
    <cfRule type="expression" dxfId="6" priority="2">
      <formula>$H3="着手中"</formula>
    </cfRule>
    <cfRule type="expression" dxfId="5" priority="3">
      <formula>$H3="完了"</formula>
    </cfRule>
    <cfRule type="expression" dxfId="4" priority="4">
      <formula>$H3="修正中"</formula>
    </cfRule>
  </conditionalFormatting>
  <conditionalFormatting sqref="H3:H46">
    <cfRule type="expression" dxfId="3" priority="5">
      <formula>$H3="未着手"</formula>
    </cfRule>
    <cfRule type="expression" dxfId="2" priority="6">
      <formula>$H3="着手中"</formula>
    </cfRule>
    <cfRule type="expression" dxfId="1" priority="7">
      <formula>$H3="完了"</formula>
    </cfRule>
    <cfRule type="expression" dxfId="0" priority="8">
      <formula>$H3="修正中"</formula>
    </cfRule>
  </conditionalFormatting>
  <dataValidations count="1">
    <dataValidation type="list" allowBlank="1" showErrorMessage="1" errorTitle="入力エラー" error="未着手 / 着手中 / 完了 / 修正中 から選択してください" promptTitle="状態" prompt="リストから選択" sqref="H3:H46" xr:uid="{00000000-0002-0000-0200-000000000000}">
      <formula1>"未着手,着手中,完了,修正中"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b4123e-ff08-448a-a51c-d574d85865b6" xsi:nil="true"/>
    <lcf76f155ced4ddcb4097134ff3c332f xmlns="e8d6e06c-e60e-47a7-a324-5df51f361a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2AB853B196F794D8522E079E5062DE1" ma:contentTypeVersion="10" ma:contentTypeDescription="新しいドキュメントを作成します。" ma:contentTypeScope="" ma:versionID="f5519c8ad0001dc1944c7d5117d6ef1e">
  <xsd:schema xmlns:xsd="http://www.w3.org/2001/XMLSchema" xmlns:xs="http://www.w3.org/2001/XMLSchema" xmlns:p="http://schemas.microsoft.com/office/2006/metadata/properties" xmlns:ns2="e8d6e06c-e60e-47a7-a324-5df51f361a1d" xmlns:ns3="0eb4123e-ff08-448a-a51c-d574d85865b6" targetNamespace="http://schemas.microsoft.com/office/2006/metadata/properties" ma:root="true" ma:fieldsID="6b6fc7ab0c5db989cb71f9aed3612649" ns2:_="" ns3:_="">
    <xsd:import namespace="e8d6e06c-e60e-47a7-a324-5df51f361a1d"/>
    <xsd:import namespace="0eb4123e-ff08-448a-a51c-d574d8586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6e06c-e60e-47a7-a324-5df51f361a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8ae29c59-cffc-49bc-b1b2-82d81727b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4123e-ff08-448a-a51c-d574d85865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7f6a86-eb1c-4018-be3f-ff946cbc1596}" ma:internalName="TaxCatchAll" ma:showField="CatchAllData" ma:web="0eb4123e-ff08-448a-a51c-d574d8586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8847C0-5130-4101-A4C5-741899C966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0B1E3-ADE6-4F00-AE17-68568CA51768}">
  <ds:schemaRefs>
    <ds:schemaRef ds:uri="http://schemas.microsoft.com/office/2006/metadata/properties"/>
    <ds:schemaRef ds:uri="http://schemas.microsoft.com/office/infopath/2007/PartnerControls"/>
    <ds:schemaRef ds:uri="0eb4123e-ff08-448a-a51c-d574d85865b6"/>
    <ds:schemaRef ds:uri="e8d6e06c-e60e-47a7-a324-5df51f361a1d"/>
  </ds:schemaRefs>
</ds:datastoreItem>
</file>

<file path=customXml/itemProps3.xml><?xml version="1.0" encoding="utf-8"?>
<ds:datastoreItem xmlns:ds="http://schemas.openxmlformats.org/officeDocument/2006/customXml" ds:itemID="{D291B805-DD5A-411A-AC9E-2CE043F9F3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d6e06c-e60e-47a7-a324-5df51f361a1d"/>
    <ds:schemaRef ds:uri="0eb4123e-ff08-448a-a51c-d574d85865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WBS</vt:lpstr>
      <vt:lpstr>フェーズ別WBS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健成</dc:creator>
  <cp:keywords/>
  <dc:description/>
  <cp:lastModifiedBy>佐々木 健成</cp:lastModifiedBy>
  <cp:revision/>
  <dcterms:created xsi:type="dcterms:W3CDTF">2026-09-09T08:26:06Z</dcterms:created>
  <dcterms:modified xsi:type="dcterms:W3CDTF">2026-10-13T04:57:23Z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0x01010012AB853B196F794D8522E079E5062DE1</vt:lpwstr>
  </property>
  <property fmtid="{D5CDD505-2E9C-101B-9397-08002B2CF9AE}" pid="3" name="MediaServiceImageTags">
    <vt:lpwstr/>
  </property>
</Properties>
</file>